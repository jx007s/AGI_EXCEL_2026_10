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/>
  <workbookPr/>
  <mc:AlternateContent xmlns:mc="http://schemas.openxmlformats.org/markup-compatibility/2006">
    <mc:Choice Requires="x15">
      <x15ac:absPath xmlns:x15ac="http://schemas.microsoft.com/office/spreadsheetml/2010/11/ac" url="E:\public\mbc\AGI_2026_10\자주출제되는_함수사전\"/>
    </mc:Choice>
  </mc:AlternateContent>
  <xr:revisionPtr revIDLastSave="0" documentId="13_ncr:1_{1D71B5CE-DAAC-44BC-9878-38D105824818}" xr6:coauthVersionLast="47" xr6:coauthVersionMax="47" xr10:uidLastSave="{00000000-0000-0000-0000-000000000000}"/>
  <bookViews>
    <workbookView xWindow="22932" yWindow="-108" windowWidth="23256" windowHeight="12576" tabRatio="880" firstSheet="10" activeTab="20" xr2:uid="{00000000-000D-0000-FFFF-FFFF00000000}"/>
  </bookViews>
  <sheets>
    <sheet name="IF1(예제)" sheetId="1" r:id="rId1"/>
    <sheet name="IF1(결과)" sheetId="10" r:id="rId2"/>
    <sheet name="IF2(예제)" sheetId="2" r:id="rId3"/>
    <sheet name="IF2(결과)" sheetId="11" r:id="rId4"/>
    <sheet name="IF3(예제)" sheetId="3" r:id="rId5"/>
    <sheet name="IF3(결과)" sheetId="12" r:id="rId6"/>
    <sheet name="IF4(예제)" sheetId="4" r:id="rId7"/>
    <sheet name="IF4(결과)" sheetId="13" r:id="rId8"/>
    <sheet name="AND1(예제)" sheetId="5" r:id="rId9"/>
    <sheet name="AND1(결과)" sheetId="14" r:id="rId10"/>
    <sheet name="AND2(예제)" sheetId="6" r:id="rId11"/>
    <sheet name="AND2(결과)" sheetId="15" r:id="rId12"/>
    <sheet name="OR1(예제)" sheetId="7" r:id="rId13"/>
    <sheet name="OR1(결과)" sheetId="16" r:id="rId14"/>
    <sheet name="OR2(예제)" sheetId="8" r:id="rId15"/>
    <sheet name="OR2(결과)" sheetId="17" r:id="rId16"/>
    <sheet name="IFERROR(예제)" sheetId="9" r:id="rId17"/>
    <sheet name="IFERROR(결과)" sheetId="18" r:id="rId18"/>
    <sheet name="IFS(예제)" sheetId="19" r:id="rId19"/>
    <sheet name="IFS(결과)" sheetId="20" r:id="rId20"/>
    <sheet name="SWITCH(예제)" sheetId="21" r:id="rId21"/>
    <sheet name="SWITCH(결과)" sheetId="22" r:id="rId22"/>
  </sheets>
  <definedNames>
    <definedName name="변수1">'IF1(예제)'!$C$25</definedName>
    <definedName name="변수2">'IF1(예제)'!$E$25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3" i="19" l="1" a="1"/>
  <c r="D3" i="19" s="1"/>
  <c r="D4" i="19" a="1"/>
  <c r="D4" i="19" s="1"/>
  <c r="D5" i="19" a="1"/>
  <c r="D5" i="19" s="1"/>
  <c r="D6" i="19" a="1"/>
  <c r="D6" i="19" s="1"/>
  <c r="D7" i="19" a="1"/>
  <c r="D7" i="19" s="1"/>
  <c r="D8" i="19" a="1"/>
  <c r="D8" i="19" s="1"/>
  <c r="D9" i="19" a="1"/>
  <c r="D9" i="19" s="1"/>
  <c r="F9" i="19" a="1"/>
  <c r="F9" i="19" s="1"/>
  <c r="F4" i="19"/>
  <c r="C4" i="9"/>
  <c r="C5" i="9"/>
  <c r="C6" i="9"/>
  <c r="C7" i="9"/>
  <c r="C8" i="9"/>
  <c r="C3" i="9"/>
  <c r="D12" i="9"/>
  <c r="D13" i="9"/>
  <c r="D14" i="9"/>
  <c r="D15" i="9"/>
  <c r="D16" i="9"/>
  <c r="D17" i="9"/>
  <c r="C13" i="9"/>
  <c r="C14" i="9"/>
  <c r="C15" i="9"/>
  <c r="C16" i="9"/>
  <c r="C17" i="9"/>
  <c r="C12" i="9"/>
  <c r="F4" i="9"/>
  <c r="F3" i="9"/>
  <c r="D4" i="7"/>
  <c r="D5" i="7"/>
  <c r="D6" i="7"/>
  <c r="D7" i="7"/>
  <c r="D8" i="7"/>
  <c r="D9" i="7"/>
  <c r="D3" i="7"/>
  <c r="F3" i="5"/>
  <c r="F4" i="5"/>
  <c r="F5" i="5"/>
  <c r="F6" i="5"/>
  <c r="F7" i="5"/>
  <c r="K17" i="5"/>
  <c r="K15" i="5"/>
  <c r="K14" i="5"/>
  <c r="K13" i="5"/>
  <c r="K11" i="5"/>
  <c r="K10" i="5"/>
  <c r="K9" i="5"/>
  <c r="K8" i="5"/>
  <c r="K7" i="5"/>
  <c r="K6" i="5"/>
  <c r="D4" i="4"/>
  <c r="D5" i="4"/>
  <c r="D6" i="4"/>
  <c r="D7" i="4"/>
  <c r="D8" i="4"/>
  <c r="D3" i="4"/>
  <c r="E4" i="2"/>
  <c r="E5" i="2"/>
  <c r="E6" i="2"/>
  <c r="E7" i="2"/>
  <c r="E8" i="2"/>
  <c r="E9" i="2"/>
  <c r="E3" i="2"/>
  <c r="D4" i="1"/>
  <c r="D5" i="1"/>
  <c r="D6" i="1"/>
  <c r="D7" i="1"/>
  <c r="D3" i="1"/>
  <c r="G26" i="1"/>
  <c r="G24" i="1"/>
  <c r="J22" i="1"/>
  <c r="I19" i="1"/>
  <c r="K11" i="1"/>
  <c r="F92" i="1" l="1"/>
  <c r="H94" i="1"/>
  <c r="H95" i="1"/>
  <c r="F96" i="1"/>
  <c r="G96" i="1" s="1"/>
  <c r="H96" i="1" s="1"/>
  <c r="F95" i="1"/>
  <c r="G95" i="1" s="1"/>
  <c r="F94" i="1"/>
  <c r="G94" i="1" s="1"/>
  <c r="F93" i="1"/>
  <c r="G93" i="1" s="1"/>
  <c r="H93" i="1" s="1"/>
  <c r="G92" i="1"/>
  <c r="H92" i="1" s="1"/>
  <c r="E89" i="1"/>
  <c r="E84" i="1"/>
  <c r="E83" i="1"/>
  <c r="E82" i="1"/>
  <c r="E81" i="1"/>
  <c r="E80" i="1"/>
  <c r="E79" i="1"/>
  <c r="E74" i="1"/>
  <c r="E73" i="1"/>
  <c r="E72" i="1"/>
  <c r="E71" i="1"/>
  <c r="E70" i="1"/>
  <c r="E69" i="1"/>
  <c r="C61" i="1"/>
  <c r="D61" i="1"/>
  <c r="E61" i="1"/>
  <c r="D62" i="1"/>
  <c r="E62" i="1"/>
  <c r="D63" i="1"/>
  <c r="E63" i="1"/>
  <c r="C62" i="1"/>
  <c r="C63" i="1"/>
  <c r="B62" i="1"/>
  <c r="B63" i="1"/>
  <c r="B61" i="1"/>
  <c r="D60" i="1"/>
  <c r="E60" i="1"/>
  <c r="C60" i="1"/>
  <c r="D41" i="1"/>
  <c r="E41" i="1"/>
  <c r="F41" i="1"/>
  <c r="G41" i="1"/>
  <c r="H41" i="1"/>
  <c r="I41" i="1"/>
  <c r="J41" i="1"/>
  <c r="D42" i="1"/>
  <c r="E42" i="1"/>
  <c r="F42" i="1"/>
  <c r="G42" i="1"/>
  <c r="H42" i="1"/>
  <c r="I42" i="1"/>
  <c r="J42" i="1"/>
  <c r="D43" i="1"/>
  <c r="E43" i="1"/>
  <c r="F43" i="1"/>
  <c r="G43" i="1"/>
  <c r="H43" i="1"/>
  <c r="I43" i="1"/>
  <c r="J43" i="1"/>
  <c r="D44" i="1"/>
  <c r="E44" i="1"/>
  <c r="F44" i="1"/>
  <c r="G44" i="1"/>
  <c r="H44" i="1"/>
  <c r="I44" i="1"/>
  <c r="J44" i="1"/>
  <c r="D45" i="1"/>
  <c r="E45" i="1"/>
  <c r="F45" i="1"/>
  <c r="G45" i="1"/>
  <c r="H45" i="1"/>
  <c r="I45" i="1"/>
  <c r="J45" i="1"/>
  <c r="D46" i="1"/>
  <c r="E46" i="1"/>
  <c r="F46" i="1"/>
  <c r="G46" i="1"/>
  <c r="H46" i="1"/>
  <c r="I46" i="1"/>
  <c r="J46" i="1"/>
  <c r="D47" i="1"/>
  <c r="E47" i="1"/>
  <c r="F47" i="1"/>
  <c r="G47" i="1"/>
  <c r="H47" i="1"/>
  <c r="I47" i="1"/>
  <c r="J47" i="1"/>
  <c r="D48" i="1"/>
  <c r="E48" i="1"/>
  <c r="F48" i="1"/>
  <c r="G48" i="1"/>
  <c r="H48" i="1"/>
  <c r="I48" i="1"/>
  <c r="J48" i="1"/>
  <c r="D49" i="1"/>
  <c r="E49" i="1"/>
  <c r="F49" i="1"/>
  <c r="G49" i="1"/>
  <c r="H49" i="1"/>
  <c r="I49" i="1"/>
  <c r="J49" i="1"/>
  <c r="C42" i="1"/>
  <c r="C43" i="1"/>
  <c r="C44" i="1"/>
  <c r="C45" i="1"/>
  <c r="C46" i="1"/>
  <c r="C47" i="1"/>
  <c r="C48" i="1"/>
  <c r="C49" i="1"/>
  <c r="C41" i="1"/>
  <c r="F31" i="1"/>
  <c r="G31" i="1" s="1"/>
  <c r="I31" i="1" s="1"/>
  <c r="F30" i="1"/>
  <c r="G30" i="1" s="1"/>
  <c r="I30" i="1" s="1"/>
  <c r="F32" i="1"/>
  <c r="G32" i="1" s="1"/>
  <c r="I32" i="1" s="1"/>
  <c r="F33" i="1"/>
  <c r="G33" i="1" s="1"/>
  <c r="I33" i="1" s="1"/>
  <c r="F29" i="1"/>
  <c r="G29" i="1" s="1"/>
  <c r="I29" i="1" s="1"/>
  <c r="E26" i="1"/>
  <c r="D23" i="1"/>
  <c r="C20" i="1"/>
  <c r="C18" i="1"/>
  <c r="E12" i="22" a="1"/>
  <c r="E12" i="22" s="1"/>
  <c r="E11" i="22" a="1"/>
  <c r="E11" i="22" s="1"/>
  <c r="E10" i="22" a="1"/>
  <c r="E10" i="22" s="1"/>
  <c r="E9" i="22" a="1"/>
  <c r="E9" i="22" s="1"/>
  <c r="E8" i="22" a="1"/>
  <c r="E8" i="22" s="1"/>
  <c r="E7" i="22" a="1"/>
  <c r="E7" i="22" s="1"/>
  <c r="E6" i="22" a="1"/>
  <c r="E6" i="22" s="1"/>
  <c r="E5" i="22" a="1"/>
  <c r="E5" i="22" s="1"/>
  <c r="E4" i="22" a="1"/>
  <c r="E4" i="22" s="1"/>
  <c r="E3" i="22" a="1"/>
  <c r="E3" i="22" s="1"/>
  <c r="D9" i="20" l="1" a="1"/>
  <c r="D9" i="20" s="1"/>
  <c r="D8" i="20" a="1"/>
  <c r="D8" i="20" s="1"/>
  <c r="D7" i="20" a="1"/>
  <c r="D7" i="20" s="1"/>
  <c r="D6" i="20" a="1"/>
  <c r="D6" i="20" s="1"/>
  <c r="D5" i="20" a="1"/>
  <c r="D5" i="20" s="1"/>
  <c r="D4" i="20" a="1"/>
  <c r="D4" i="20" s="1"/>
  <c r="D3" i="20" a="1"/>
  <c r="D3" i="20" s="1"/>
  <c r="C4" i="18"/>
  <c r="C5" i="18"/>
  <c r="C6" i="18"/>
  <c r="C7" i="18"/>
  <c r="C8" i="18"/>
  <c r="C3" i="18"/>
  <c r="E4" i="17"/>
  <c r="E5" i="17"/>
  <c r="E6" i="17"/>
  <c r="E7" i="17"/>
  <c r="E8" i="17"/>
  <c r="E3" i="17"/>
  <c r="D4" i="16"/>
  <c r="D5" i="16"/>
  <c r="D6" i="16"/>
  <c r="D7" i="16"/>
  <c r="D8" i="16"/>
  <c r="D9" i="16"/>
  <c r="D3" i="16"/>
  <c r="D4" i="15"/>
  <c r="D5" i="15"/>
  <c r="D6" i="15"/>
  <c r="D7" i="15"/>
  <c r="D8" i="15"/>
  <c r="D3" i="15"/>
  <c r="F4" i="14"/>
  <c r="F5" i="14"/>
  <c r="F6" i="14"/>
  <c r="F7" i="14"/>
  <c r="F3" i="14"/>
  <c r="D4" i="13"/>
  <c r="D5" i="13"/>
  <c r="D6" i="13"/>
  <c r="D7" i="13"/>
  <c r="D8" i="13"/>
  <c r="D3" i="13"/>
  <c r="D4" i="12"/>
  <c r="D5" i="12"/>
  <c r="D6" i="12"/>
  <c r="D7" i="12"/>
  <c r="D8" i="12"/>
  <c r="D9" i="12"/>
  <c r="D10" i="12"/>
  <c r="D3" i="12"/>
  <c r="E4" i="11"/>
  <c r="E5" i="11"/>
  <c r="E6" i="11"/>
  <c r="E7" i="11"/>
  <c r="E8" i="11"/>
  <c r="E9" i="11"/>
  <c r="E3" i="11"/>
  <c r="D4" i="10"/>
  <c r="D5" i="10"/>
  <c r="D6" i="10"/>
  <c r="D7" i="10"/>
  <c r="D3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<sst xmlns="http://schemas.openxmlformats.org/spreadsheetml/2006/main" count="518" uniqueCount="305">
  <si>
    <t>상공주식회사 인사고과</t>
    <phoneticPr fontId="5" type="noConversion"/>
  </si>
  <si>
    <t>성명</t>
    <phoneticPr fontId="5" type="noConversion"/>
  </si>
  <si>
    <t>부서</t>
    <phoneticPr fontId="5" type="noConversion"/>
  </si>
  <si>
    <t>점수</t>
    <phoneticPr fontId="5" type="noConversion"/>
  </si>
  <si>
    <t>등급</t>
    <phoneticPr fontId="5" type="noConversion"/>
  </si>
  <si>
    <t>류민수</t>
    <phoneticPr fontId="5" type="noConversion"/>
  </si>
  <si>
    <t>경리부</t>
    <phoneticPr fontId="5" type="noConversion"/>
  </si>
  <si>
    <t>라우석</t>
    <phoneticPr fontId="5" type="noConversion"/>
  </si>
  <si>
    <t>영업부</t>
    <phoneticPr fontId="5" type="noConversion"/>
  </si>
  <si>
    <t>김민석</t>
    <phoneticPr fontId="5" type="noConversion"/>
  </si>
  <si>
    <t>관리부</t>
    <phoneticPr fontId="5" type="noConversion"/>
  </si>
  <si>
    <t>박우민</t>
    <phoneticPr fontId="5" type="noConversion"/>
  </si>
  <si>
    <t>강우식</t>
    <phoneticPr fontId="5" type="noConversion"/>
  </si>
  <si>
    <t>비만도 측정</t>
    <phoneticPr fontId="5" type="noConversion"/>
  </si>
  <si>
    <t>성별</t>
    <phoneticPr fontId="5" type="noConversion"/>
  </si>
  <si>
    <t>신장</t>
    <phoneticPr fontId="5" type="noConversion"/>
  </si>
  <si>
    <t>체중</t>
    <phoneticPr fontId="5" type="noConversion"/>
  </si>
  <si>
    <t>비만여부</t>
    <phoneticPr fontId="5" type="noConversion"/>
  </si>
  <si>
    <t>한장석</t>
    <phoneticPr fontId="5" type="noConversion"/>
  </si>
  <si>
    <t>남</t>
    <phoneticPr fontId="5" type="noConversion"/>
  </si>
  <si>
    <t>오명희</t>
    <phoneticPr fontId="5" type="noConversion"/>
  </si>
  <si>
    <t>여</t>
    <phoneticPr fontId="5" type="noConversion"/>
  </si>
  <si>
    <t>최철주</t>
    <phoneticPr fontId="5" type="noConversion"/>
  </si>
  <si>
    <t>남</t>
    <phoneticPr fontId="5" type="noConversion"/>
  </si>
  <si>
    <t>마준희</t>
    <phoneticPr fontId="5" type="noConversion"/>
  </si>
  <si>
    <t>권길수</t>
    <phoneticPr fontId="5" type="noConversion"/>
  </si>
  <si>
    <t>장도애</t>
    <phoneticPr fontId="5" type="noConversion"/>
  </si>
  <si>
    <t>조서희</t>
    <phoneticPr fontId="5" type="noConversion"/>
  </si>
  <si>
    <t>판매현황</t>
    <phoneticPr fontId="5" type="noConversion"/>
  </si>
  <si>
    <t>품목</t>
    <phoneticPr fontId="5" type="noConversion"/>
  </si>
  <si>
    <t>판매일</t>
    <phoneticPr fontId="5" type="noConversion"/>
  </si>
  <si>
    <t>수량</t>
    <phoneticPr fontId="5" type="noConversion"/>
  </si>
  <si>
    <t>요일번호</t>
    <phoneticPr fontId="5" type="noConversion"/>
  </si>
  <si>
    <t>텔레비전</t>
    <phoneticPr fontId="5" type="noConversion"/>
  </si>
  <si>
    <t>전자레인지</t>
    <phoneticPr fontId="5" type="noConversion"/>
  </si>
  <si>
    <t>선풍기</t>
    <phoneticPr fontId="5" type="noConversion"/>
  </si>
  <si>
    <t>냉장고</t>
    <phoneticPr fontId="5" type="noConversion"/>
  </si>
  <si>
    <t>세탁기</t>
    <phoneticPr fontId="5" type="noConversion"/>
  </si>
  <si>
    <t>냉장고</t>
    <phoneticPr fontId="5" type="noConversion"/>
  </si>
  <si>
    <t>세금계산서</t>
    <phoneticPr fontId="5" type="noConversion"/>
  </si>
  <si>
    <t>직급코드</t>
    <phoneticPr fontId="5" type="noConversion"/>
  </si>
  <si>
    <t>근무년수</t>
    <phoneticPr fontId="5" type="noConversion"/>
  </si>
  <si>
    <t>소득액</t>
    <phoneticPr fontId="5" type="noConversion"/>
  </si>
  <si>
    <t>세금</t>
    <phoneticPr fontId="5" type="noConversion"/>
  </si>
  <si>
    <t>H9</t>
    <phoneticPr fontId="5" type="noConversion"/>
  </si>
  <si>
    <t>H10</t>
    <phoneticPr fontId="5" type="noConversion"/>
  </si>
  <si>
    <t>H3</t>
    <phoneticPr fontId="5" type="noConversion"/>
  </si>
  <si>
    <t>H7</t>
    <phoneticPr fontId="5" type="noConversion"/>
  </si>
  <si>
    <t>H8</t>
    <phoneticPr fontId="5" type="noConversion"/>
  </si>
  <si>
    <t>컴퓨터활용 평가</t>
    <phoneticPr fontId="5" type="noConversion"/>
  </si>
  <si>
    <t>필기</t>
    <phoneticPr fontId="5" type="noConversion"/>
  </si>
  <si>
    <t>실기</t>
    <phoneticPr fontId="5" type="noConversion"/>
  </si>
  <si>
    <t>총점</t>
    <phoneticPr fontId="5" type="noConversion"/>
  </si>
  <si>
    <t>평균</t>
    <phoneticPr fontId="5" type="noConversion"/>
  </si>
  <si>
    <t>판정</t>
    <phoneticPr fontId="5" type="noConversion"/>
  </si>
  <si>
    <t>김구호</t>
    <phoneticPr fontId="5" type="noConversion"/>
  </si>
  <si>
    <t>하창명</t>
    <phoneticPr fontId="5" type="noConversion"/>
  </si>
  <si>
    <t>민구연</t>
    <phoneticPr fontId="5" type="noConversion"/>
  </si>
  <si>
    <t>이상희</t>
    <phoneticPr fontId="5" type="noConversion"/>
  </si>
  <si>
    <t>오정민</t>
    <phoneticPr fontId="5" type="noConversion"/>
  </si>
  <si>
    <t>사원현황</t>
    <phoneticPr fontId="5" type="noConversion"/>
  </si>
  <si>
    <t>사원명</t>
    <phoneticPr fontId="5" type="noConversion"/>
  </si>
  <si>
    <t>컴퓨터일반</t>
    <phoneticPr fontId="5" type="noConversion"/>
  </si>
  <si>
    <t>워드</t>
    <phoneticPr fontId="5" type="noConversion"/>
  </si>
  <si>
    <t>합격여부</t>
    <phoneticPr fontId="5" type="noConversion"/>
  </si>
  <si>
    <t>이지연</t>
    <phoneticPr fontId="5" type="noConversion"/>
  </si>
  <si>
    <t>한가람</t>
    <phoneticPr fontId="5" type="noConversion"/>
  </si>
  <si>
    <t>오두영</t>
    <phoneticPr fontId="5" type="noConversion"/>
  </si>
  <si>
    <t>안치연</t>
    <phoneticPr fontId="5" type="noConversion"/>
  </si>
  <si>
    <t>명기영</t>
    <phoneticPr fontId="5" type="noConversion"/>
  </si>
  <si>
    <t>나미인</t>
    <phoneticPr fontId="5" type="noConversion"/>
  </si>
  <si>
    <t>남산㈜ 승진시험 성적 현황</t>
    <phoneticPr fontId="5" type="noConversion"/>
  </si>
  <si>
    <t>영어</t>
    <phoneticPr fontId="5" type="noConversion"/>
  </si>
  <si>
    <t>전산</t>
    <phoneticPr fontId="5" type="noConversion"/>
  </si>
  <si>
    <t>판정</t>
    <phoneticPr fontId="5" type="noConversion"/>
  </si>
  <si>
    <t>박시영</t>
    <phoneticPr fontId="5" type="noConversion"/>
  </si>
  <si>
    <t>김명훈</t>
    <phoneticPr fontId="5" type="noConversion"/>
  </si>
  <si>
    <t>서태훈</t>
    <phoneticPr fontId="5" type="noConversion"/>
  </si>
  <si>
    <t>강수현</t>
    <phoneticPr fontId="5" type="noConversion"/>
  </si>
  <si>
    <t>정미숙</t>
    <phoneticPr fontId="5" type="noConversion"/>
  </si>
  <si>
    <t>김보람</t>
    <phoneticPr fontId="5" type="noConversion"/>
  </si>
  <si>
    <t>최정민</t>
    <phoneticPr fontId="5" type="noConversion"/>
  </si>
  <si>
    <t>소아병원 환자명단</t>
    <phoneticPr fontId="5" type="noConversion"/>
  </si>
  <si>
    <t>진료일</t>
    <phoneticPr fontId="5" type="noConversion"/>
  </si>
  <si>
    <t>환자명</t>
    <phoneticPr fontId="5" type="noConversion"/>
  </si>
  <si>
    <t>주민등록번호</t>
    <phoneticPr fontId="5" type="noConversion"/>
  </si>
  <si>
    <t>조영아</t>
    <phoneticPr fontId="5" type="noConversion"/>
  </si>
  <si>
    <t>박근애</t>
    <phoneticPr fontId="5" type="noConversion"/>
  </si>
  <si>
    <t>최진영</t>
    <phoneticPr fontId="5" type="noConversion"/>
  </si>
  <si>
    <t>이필용</t>
    <phoneticPr fontId="5" type="noConversion"/>
  </si>
  <si>
    <t>141209-3214591</t>
    <phoneticPr fontId="5" type="noConversion"/>
  </si>
  <si>
    <t>장세미</t>
    <phoneticPr fontId="5" type="noConversion"/>
  </si>
  <si>
    <t>정대수</t>
    <phoneticPr fontId="5" type="noConversion"/>
  </si>
  <si>
    <t>130215-4029834</t>
  </si>
  <si>
    <t>151212-3675234</t>
  </si>
  <si>
    <t>121019-4156347</t>
    <phoneticPr fontId="2" type="noConversion"/>
  </si>
  <si>
    <t>160129-4828731</t>
    <phoneticPr fontId="2" type="noConversion"/>
  </si>
  <si>
    <t>151113-3623718</t>
    <phoneticPr fontId="2" type="noConversion"/>
  </si>
  <si>
    <t>값1</t>
    <phoneticPr fontId="2" type="noConversion"/>
  </si>
  <si>
    <t>값2</t>
    <phoneticPr fontId="2" type="noConversion"/>
  </si>
  <si>
    <t>결과 값</t>
    <phoneticPr fontId="2" type="noConversion"/>
  </si>
  <si>
    <t>없음</t>
    <phoneticPr fontId="2" type="noConversion"/>
  </si>
  <si>
    <t>없음</t>
    <phoneticPr fontId="2" type="noConversion"/>
  </si>
  <si>
    <t>영어시험</t>
    <phoneticPr fontId="5" type="noConversion"/>
  </si>
  <si>
    <t>이수청</t>
    <phoneticPr fontId="2" type="noConversion"/>
  </si>
  <si>
    <t>고아진</t>
    <phoneticPr fontId="2" type="noConversion"/>
  </si>
  <si>
    <t>김소연</t>
    <phoneticPr fontId="5" type="noConversion"/>
  </si>
  <si>
    <t>한현숙</t>
    <phoneticPr fontId="5" type="noConversion"/>
  </si>
  <si>
    <t>이유진</t>
    <phoneticPr fontId="5" type="noConversion"/>
  </si>
  <si>
    <t>박소진</t>
    <phoneticPr fontId="5" type="noConversion"/>
  </si>
  <si>
    <t>유진희</t>
    <phoneticPr fontId="5" type="noConversion"/>
  </si>
  <si>
    <t>제과류 분류표</t>
    <phoneticPr fontId="5" type="noConversion"/>
  </si>
  <si>
    <t>제품코드</t>
    <phoneticPr fontId="5" type="noConversion"/>
  </si>
  <si>
    <t>출시연도</t>
    <phoneticPr fontId="5" type="noConversion"/>
  </si>
  <si>
    <t>단가(원)</t>
    <phoneticPr fontId="5" type="noConversion"/>
  </si>
  <si>
    <t>제작회사</t>
    <phoneticPr fontId="5" type="noConversion"/>
  </si>
  <si>
    <t>BS-100</t>
    <phoneticPr fontId="5" type="noConversion"/>
  </si>
  <si>
    <t>에이시</t>
    <phoneticPr fontId="5" type="noConversion"/>
  </si>
  <si>
    <t>GU-200</t>
    <phoneticPr fontId="5" type="noConversion"/>
  </si>
  <si>
    <t>짜이리톨</t>
    <phoneticPr fontId="5" type="noConversion"/>
  </si>
  <si>
    <t>SN-300</t>
    <phoneticPr fontId="5" type="noConversion"/>
  </si>
  <si>
    <t>꼬깔스넥</t>
    <phoneticPr fontId="5" type="noConversion"/>
  </si>
  <si>
    <t>SN-301</t>
    <phoneticPr fontId="5" type="noConversion"/>
  </si>
  <si>
    <t>멋동산</t>
    <phoneticPr fontId="5" type="noConversion"/>
  </si>
  <si>
    <t>쵸코파이</t>
    <phoneticPr fontId="5" type="noConversion"/>
  </si>
  <si>
    <t>오예에스</t>
    <phoneticPr fontId="5" type="noConversion"/>
  </si>
  <si>
    <t>BS-101</t>
    <phoneticPr fontId="5" type="noConversion"/>
  </si>
  <si>
    <t>체크칩스</t>
    <phoneticPr fontId="5" type="noConversion"/>
  </si>
  <si>
    <t>투우유</t>
    <phoneticPr fontId="5" type="noConversion"/>
  </si>
  <si>
    <t>SN-302</t>
    <phoneticPr fontId="5" type="noConversion"/>
  </si>
  <si>
    <t>고래밥</t>
    <phoneticPr fontId="5" type="noConversion"/>
  </si>
  <si>
    <t>마가레티</t>
    <phoneticPr fontId="5" type="noConversion"/>
  </si>
  <si>
    <t>GI-200</t>
    <phoneticPr fontId="5" type="noConversion"/>
  </si>
  <si>
    <t>BI-301</t>
    <phoneticPr fontId="5" type="noConversion"/>
  </si>
  <si>
    <t>GO-300</t>
    <phoneticPr fontId="5" type="noConversion"/>
  </si>
  <si>
    <t>BI-202</t>
    <phoneticPr fontId="5" type="noConversion"/>
  </si>
  <si>
    <t>수식 : 수학</t>
    <phoneticPr fontId="2" type="noConversion"/>
  </si>
  <si>
    <t>5+3=</t>
    <phoneticPr fontId="2" type="noConversion"/>
  </si>
  <si>
    <t>x</t>
    <phoneticPr fontId="2" type="noConversion"/>
  </si>
  <si>
    <t>5 , 3 : 상수 - 변하지 않는 값</t>
    <phoneticPr fontId="2" type="noConversion"/>
  </si>
  <si>
    <t>x : 변수 - 값(데이터)를 기억하는 메모리 공간</t>
    <phoneticPr fontId="2" type="noConversion"/>
  </si>
  <si>
    <t>엑셀</t>
    <phoneticPr fontId="2" type="noConversion"/>
  </si>
  <si>
    <t>=5+3</t>
    <phoneticPr fontId="2" type="noConversion"/>
  </si>
  <si>
    <t>등호가 먼저 작성</t>
    <phoneticPr fontId="2" type="noConversion"/>
  </si>
  <si>
    <t>+, = : 연산자 - 항을 재료로 하여 작업 이후 값을 리턴</t>
    <phoneticPr fontId="2" type="noConversion"/>
  </si>
  <si>
    <t>=7</t>
    <phoneticPr fontId="2" type="noConversion"/>
  </si>
  <si>
    <t>5+3</t>
    <phoneticPr fontId="2" type="noConversion"/>
  </si>
  <si>
    <t>a = 3, b= 4</t>
    <phoneticPr fontId="2" type="noConversion"/>
  </si>
  <si>
    <t>a + b = c</t>
    <phoneticPr fontId="2" type="noConversion"/>
  </si>
  <si>
    <t>c = 7</t>
    <phoneticPr fontId="2" type="noConversion"/>
  </si>
  <si>
    <t>변수 선언 및 초기화</t>
    <phoneticPr fontId="2" type="noConversion"/>
  </si>
  <si>
    <t>a:</t>
    <phoneticPr fontId="2" type="noConversion"/>
  </si>
  <si>
    <t>b:</t>
    <phoneticPr fontId="2" type="noConversion"/>
  </si>
  <si>
    <t>c:</t>
    <phoneticPr fontId="2" type="noConversion"/>
  </si>
  <si>
    <t>=C22+E22</t>
    <phoneticPr fontId="2" type="noConversion"/>
  </si>
  <si>
    <t>=변수1+변수2</t>
    <phoneticPr fontId="2" type="noConversion"/>
  </si>
  <si>
    <t>이름표사용</t>
    <phoneticPr fontId="2" type="noConversion"/>
  </si>
  <si>
    <t>참조 : 셀을 변수로 사용</t>
    <phoneticPr fontId="2" type="noConversion"/>
  </si>
  <si>
    <t>이름</t>
    <phoneticPr fontId="2" type="noConversion"/>
  </si>
  <si>
    <t>국어</t>
    <phoneticPr fontId="2" type="noConversion"/>
  </si>
  <si>
    <t>영어</t>
    <phoneticPr fontId="2" type="noConversion"/>
  </si>
  <si>
    <t>수학</t>
    <phoneticPr fontId="2" type="noConversion"/>
  </si>
  <si>
    <t>장동건</t>
    <phoneticPr fontId="2" type="noConversion"/>
  </si>
  <si>
    <t>장서건</t>
    <phoneticPr fontId="2" type="noConversion"/>
  </si>
  <si>
    <t>장남건</t>
    <phoneticPr fontId="2" type="noConversion"/>
  </si>
  <si>
    <t>장중건</t>
    <phoneticPr fontId="2" type="noConversion"/>
  </si>
  <si>
    <t>북두신건</t>
    <phoneticPr fontId="2" type="noConversion"/>
  </si>
  <si>
    <t>총점</t>
    <phoneticPr fontId="2" type="noConversion"/>
  </si>
  <si>
    <t>평균</t>
    <phoneticPr fontId="2" type="noConversion"/>
  </si>
  <si>
    <t>상대참조 : 수식이 복사되는 위치에 맞추어 참조하는 셀의 주소가 변경</t>
    <phoneticPr fontId="2" type="noConversion"/>
  </si>
  <si>
    <t>가산점</t>
    <phoneticPr fontId="2" type="noConversion"/>
  </si>
  <si>
    <t>가산비율</t>
    <phoneticPr fontId="2" type="noConversion"/>
  </si>
  <si>
    <t>절대참조 : 수식이 복사되는 위치와 관계없이 참조하는 셀 주소 고정</t>
    <phoneticPr fontId="2" type="noConversion"/>
  </si>
  <si>
    <t>G29</t>
    <phoneticPr fontId="2" type="noConversion"/>
  </si>
  <si>
    <t>$K$26</t>
    <phoneticPr fontId="2" type="noConversion"/>
  </si>
  <si>
    <t>구구단</t>
    <phoneticPr fontId="2" type="noConversion"/>
  </si>
  <si>
    <t>단</t>
    <phoneticPr fontId="2" type="noConversion"/>
  </si>
  <si>
    <t>곱하기</t>
    <phoneticPr fontId="2" type="noConversion"/>
  </si>
  <si>
    <t>혼합참조 : 수식이 복사되는 위치에 맞추어 열, 행 중 하나만 주소 고정(다른 것은 변경)</t>
    <phoneticPr fontId="2" type="noConversion"/>
  </si>
  <si>
    <t>C$40, $B41</t>
    <phoneticPr fontId="2" type="noConversion"/>
  </si>
  <si>
    <t>대학컷트라인</t>
    <phoneticPr fontId="2" type="noConversion"/>
  </si>
  <si>
    <t>A대학</t>
    <phoneticPr fontId="2" type="noConversion"/>
  </si>
  <si>
    <t>B대학</t>
    <phoneticPr fontId="2" type="noConversion"/>
  </si>
  <si>
    <t>C대학</t>
    <phoneticPr fontId="2" type="noConversion"/>
  </si>
  <si>
    <t>학과</t>
    <phoneticPr fontId="2" type="noConversion"/>
  </si>
  <si>
    <t>간호학과</t>
    <phoneticPr fontId="2" type="noConversion"/>
  </si>
  <si>
    <t>경영학과</t>
    <phoneticPr fontId="2" type="noConversion"/>
  </si>
  <si>
    <t>컴퓨터공학과</t>
    <phoneticPr fontId="2" type="noConversion"/>
  </si>
  <si>
    <t>대학-학과 별 컷트라인을 구하세요</t>
    <phoneticPr fontId="2" type="noConversion"/>
  </si>
  <si>
    <t>연산자</t>
    <phoneticPr fontId="2" type="noConversion"/>
  </si>
  <si>
    <t>산술연산자</t>
    <phoneticPr fontId="2" type="noConversion"/>
  </si>
  <si>
    <t>+</t>
    <phoneticPr fontId="2" type="noConversion"/>
  </si>
  <si>
    <t>-</t>
    <phoneticPr fontId="2" type="noConversion"/>
  </si>
  <si>
    <t>*</t>
    <phoneticPr fontId="2" type="noConversion"/>
  </si>
  <si>
    <t>/</t>
    <phoneticPr fontId="2" type="noConversion"/>
  </si>
  <si>
    <t>^</t>
    <phoneticPr fontId="2" type="noConversion"/>
  </si>
  <si>
    <t>%</t>
    <phoneticPr fontId="2" type="noConversion"/>
  </si>
  <si>
    <t>더하기</t>
    <phoneticPr fontId="2" type="noConversion"/>
  </si>
  <si>
    <t>빼기</t>
    <phoneticPr fontId="2" type="noConversion"/>
  </si>
  <si>
    <t>나누기</t>
    <phoneticPr fontId="2" type="noConversion"/>
  </si>
  <si>
    <t>제곱</t>
    <phoneticPr fontId="2" type="noConversion"/>
  </si>
  <si>
    <t>백분율</t>
    <phoneticPr fontId="2" type="noConversion"/>
  </si>
  <si>
    <t>=</t>
    <phoneticPr fontId="2" type="noConversion"/>
  </si>
  <si>
    <t>=15+7</t>
    <phoneticPr fontId="2" type="noConversion"/>
  </si>
  <si>
    <t>=15-7</t>
    <phoneticPr fontId="2" type="noConversion"/>
  </si>
  <si>
    <t>=15*7</t>
    <phoneticPr fontId="2" type="noConversion"/>
  </si>
  <si>
    <t>=15/7</t>
    <phoneticPr fontId="2" type="noConversion"/>
  </si>
  <si>
    <t>=3^3</t>
    <phoneticPr fontId="2" type="noConversion"/>
  </si>
  <si>
    <t>=15%</t>
    <phoneticPr fontId="2" type="noConversion"/>
  </si>
  <si>
    <t>비교연산자</t>
    <phoneticPr fontId="2" type="noConversion"/>
  </si>
  <si>
    <t>크기비교</t>
    <phoneticPr fontId="2" type="noConversion"/>
  </si>
  <si>
    <t>항 : 숫자</t>
    <phoneticPr fontId="2" type="noConversion"/>
  </si>
  <si>
    <t>결과:숫자</t>
    <phoneticPr fontId="2" type="noConversion"/>
  </si>
  <si>
    <t>숫자계산</t>
    <phoneticPr fontId="2" type="noConversion"/>
  </si>
  <si>
    <t>결과: Bool</t>
    <phoneticPr fontId="2" type="noConversion"/>
  </si>
  <si>
    <t>&gt;</t>
    <phoneticPr fontId="2" type="noConversion"/>
  </si>
  <si>
    <t>&gt;=</t>
    <phoneticPr fontId="2" type="noConversion"/>
  </si>
  <si>
    <t>&lt;=</t>
    <phoneticPr fontId="2" type="noConversion"/>
  </si>
  <si>
    <t>&lt;</t>
    <phoneticPr fontId="2" type="noConversion"/>
  </si>
  <si>
    <t>&lt;&gt;</t>
    <phoneticPr fontId="2" type="noConversion"/>
  </si>
  <si>
    <t>초과</t>
    <phoneticPr fontId="2" type="noConversion"/>
  </si>
  <si>
    <t>이상</t>
    <phoneticPr fontId="2" type="noConversion"/>
  </si>
  <si>
    <t>이하</t>
    <phoneticPr fontId="2" type="noConversion"/>
  </si>
  <si>
    <t>미만</t>
    <phoneticPr fontId="2" type="noConversion"/>
  </si>
  <si>
    <t>같다</t>
    <phoneticPr fontId="2" type="noConversion"/>
  </si>
  <si>
    <t>다르다</t>
    <phoneticPr fontId="2" type="noConversion"/>
  </si>
  <si>
    <t>(TRUE/FALSE)</t>
    <phoneticPr fontId="2" type="noConversion"/>
  </si>
  <si>
    <t>=D78&gt;E78</t>
    <phoneticPr fontId="2" type="noConversion"/>
  </si>
  <si>
    <t>=D78&gt;=E78</t>
    <phoneticPr fontId="2" type="noConversion"/>
  </si>
  <si>
    <t>=D78&lt;=E78</t>
    <phoneticPr fontId="2" type="noConversion"/>
  </si>
  <si>
    <t>=D78&lt;E78</t>
    <phoneticPr fontId="2" type="noConversion"/>
  </si>
  <si>
    <t>=D78=E78</t>
    <phoneticPr fontId="2" type="noConversion"/>
  </si>
  <si>
    <t>=D78&lt;&gt;E78</t>
    <phoneticPr fontId="2" type="noConversion"/>
  </si>
  <si>
    <t>정우성</t>
    <phoneticPr fontId="2" type="noConversion"/>
  </si>
  <si>
    <t>항 : 숫자,문자열</t>
    <phoneticPr fontId="2" type="noConversion"/>
  </si>
  <si>
    <t>정남성</t>
    <phoneticPr fontId="2" type="noConversion"/>
  </si>
  <si>
    <t>연결연산자</t>
    <phoneticPr fontId="2" type="noConversion"/>
  </si>
  <si>
    <t>데이터결합</t>
    <phoneticPr fontId="2" type="noConversion"/>
  </si>
  <si>
    <t>결과 : 문자열</t>
    <phoneticPr fontId="2" type="noConversion"/>
  </si>
  <si>
    <t>&amp;</t>
    <phoneticPr fontId="2" type="noConversion"/>
  </si>
  <si>
    <t>데이터연결</t>
    <phoneticPr fontId="2" type="noConversion"/>
  </si>
  <si>
    <t>=D88&amp;E88</t>
    <phoneticPr fontId="2" type="noConversion"/>
  </si>
  <si>
    <t>합격</t>
    <phoneticPr fontId="2" type="noConversion"/>
  </si>
  <si>
    <t>합격점수</t>
    <phoneticPr fontId="2" type="noConversion"/>
  </si>
  <si>
    <t>1. 여러 수식을 묶어서 처리</t>
    <phoneticPr fontId="2" type="noConversion"/>
  </si>
  <si>
    <t>2. 재사용</t>
    <phoneticPr fontId="2" type="noConversion"/>
  </si>
  <si>
    <t>함수의 필요성</t>
    <phoneticPr fontId="2" type="noConversion"/>
  </si>
  <si>
    <t>함수의 구성요소</t>
    <phoneticPr fontId="2" type="noConversion"/>
  </si>
  <si>
    <t>1.함수명</t>
    <phoneticPr fontId="2" type="noConversion"/>
  </si>
  <si>
    <t>2.매개변수</t>
    <phoneticPr fontId="2" type="noConversion"/>
  </si>
  <si>
    <t>3.리턴</t>
    <phoneticPr fontId="2" type="noConversion"/>
  </si>
  <si>
    <t>함수를 지칭</t>
    <phoneticPr fontId="2" type="noConversion"/>
  </si>
  <si>
    <t>함수실행에 필요한 요소</t>
    <phoneticPr fontId="2" type="noConversion"/>
  </si>
  <si>
    <t>함수실행 후 돌려받는 값</t>
    <phoneticPr fontId="2" type="noConversion"/>
  </si>
  <si>
    <t>=IF(TRUE,"참이지롱","거짓부렁")</t>
    <phoneticPr fontId="2" type="noConversion"/>
  </si>
  <si>
    <t>IF</t>
    <phoneticPr fontId="2" type="noConversion"/>
  </si>
  <si>
    <t>함수명</t>
    <phoneticPr fontId="2" type="noConversion"/>
  </si>
  <si>
    <t>매개변수</t>
    <phoneticPr fontId="2" type="noConversion"/>
  </si>
  <si>
    <t>TRUE,"참이지롱","거짓부렁"</t>
    <phoneticPr fontId="2" type="noConversion"/>
  </si>
  <si>
    <t>리턴</t>
    <phoneticPr fontId="2" type="noConversion"/>
  </si>
  <si>
    <t>"참이지롱"</t>
    <phoneticPr fontId="2" type="noConversion"/>
  </si>
  <si>
    <t>참참참</t>
    <phoneticPr fontId="2" type="noConversion"/>
  </si>
  <si>
    <t>뻥이지요</t>
    <phoneticPr fontId="2" type="noConversion"/>
  </si>
  <si>
    <t>=IF(G16,G17,G18)</t>
    <phoneticPr fontId="2" type="noConversion"/>
  </si>
  <si>
    <t>=if(G21&gt;=80,"합격","불합격")</t>
    <phoneticPr fontId="2" type="noConversion"/>
  </si>
  <si>
    <t>=IF(G21&gt;=80,"우수",IF(G21&gt;=60,"양호",IF(G21&gt;=40,"정상","미달")))</t>
    <phoneticPr fontId="2" type="noConversion"/>
  </si>
  <si>
    <t>=IF(G21&gt;=80,"우수",IF(G21&gt;=40,"정상",IF(G21&gt;=60,"양호","미달")))</t>
    <phoneticPr fontId="2" type="noConversion"/>
  </si>
  <si>
    <t>and, or</t>
    <phoneticPr fontId="2" type="noConversion"/>
  </si>
  <si>
    <t>Bool 형태 1개이상</t>
    <phoneticPr fontId="2" type="noConversion"/>
  </si>
  <si>
    <t>Bool</t>
    <phoneticPr fontId="2" type="noConversion"/>
  </si>
  <si>
    <t>=AND(TRUE,TRUE,TRUE)</t>
    <phoneticPr fontId="2" type="noConversion"/>
  </si>
  <si>
    <t>=AND(TRUE,FALSE,TRUE)</t>
    <phoneticPr fontId="2" type="noConversion"/>
  </si>
  <si>
    <t>=AND(FALSE,FALSE,FALSE)</t>
    <phoneticPr fontId="2" type="noConversion"/>
  </si>
  <si>
    <t>=OR(TRUE,TRUE,TRUE)</t>
    <phoneticPr fontId="2" type="noConversion"/>
  </si>
  <si>
    <t>=OR(TRUE,FALSE,TRUE)</t>
    <phoneticPr fontId="2" type="noConversion"/>
  </si>
  <si>
    <t>=OR(FALSE,FALSE,FALSE)</t>
    <phoneticPr fontId="2" type="noConversion"/>
  </si>
  <si>
    <t>=AND(TRUE,1,TRUE)</t>
    <phoneticPr fontId="2" type="noConversion"/>
  </si>
  <si>
    <t>=AND(TRUE,0,TRUE)</t>
    <phoneticPr fontId="2" type="noConversion"/>
  </si>
  <si>
    <t>=AND(TRUE,1234,TRUE)</t>
    <phoneticPr fontId="2" type="noConversion"/>
  </si>
  <si>
    <t>0을 제외한 숫자</t>
    <phoneticPr fontId="2" type="noConversion"/>
  </si>
  <si>
    <t>=AND(TRUE,"아기상어",TRUE)</t>
    <phoneticPr fontId="2" type="noConversion"/>
  </si>
  <si>
    <t>글자</t>
    <phoneticPr fontId="2" type="noConversion"/>
  </si>
  <si>
    <t>B3&gt;=40</t>
    <phoneticPr fontId="2" type="noConversion"/>
  </si>
  <si>
    <t>C3&gt;=40</t>
    <phoneticPr fontId="2" type="noConversion"/>
  </si>
  <si>
    <t>E3&gt;=60</t>
    <phoneticPr fontId="2" type="noConversion"/>
  </si>
  <si>
    <t>에러</t>
    <phoneticPr fontId="2" type="noConversion"/>
  </si>
  <si>
    <t>=0/10</t>
    <phoneticPr fontId="2" type="noConversion"/>
  </si>
  <si>
    <t>=10/0</t>
    <phoneticPr fontId="2" type="noConversion"/>
  </si>
  <si>
    <t>수식 처리가 불가능한 상태</t>
    <phoneticPr fontId="2" type="noConversion"/>
  </si>
  <si>
    <t>iferror</t>
    <phoneticPr fontId="2" type="noConversion"/>
  </si>
  <si>
    <t>수식,대체값</t>
    <phoneticPr fontId="2" type="noConversion"/>
  </si>
  <si>
    <t>수식결과 or 대체값</t>
    <phoneticPr fontId="2" type="noConversion"/>
  </si>
  <si>
    <t>수식이 에러가 없으면 수식결과, 에러인 경우 대체값</t>
    <phoneticPr fontId="2" type="noConversion"/>
  </si>
  <si>
    <t>결과 값1</t>
    <phoneticPr fontId="2" type="noConversion"/>
  </si>
  <si>
    <t>결과값2</t>
    <phoneticPr fontId="2" type="noConversion"/>
  </si>
  <si>
    <t>=IF(F2&gt;=80,"우수",IF(F2&gt;=60,"양호",IF(F2&gt;=40,"정상","미달")))</t>
    <phoneticPr fontId="2" type="noConversion"/>
  </si>
  <si>
    <t>ifs</t>
    <phoneticPr fontId="2" type="noConversion"/>
  </si>
  <si>
    <t>다중분기를 병렬형태로 처리</t>
    <phoneticPr fontId="2" type="noConversion"/>
  </si>
  <si>
    <t xml:space="preserve">수식1,수식1참일때값,수식2,수식2참일때값,수식3,수식3참일때값... </t>
    <phoneticPr fontId="2" type="noConversion"/>
  </si>
  <si>
    <t>수식에맞는값 리턴</t>
    <phoneticPr fontId="2" type="noConversion"/>
  </si>
  <si>
    <t>=IFS(F2&gt;=80,"우수",F2&gt;=60,"양호",F2&gt;=40,"정상",F2&lt;40,"미달")</t>
    <phoneticPr fontId="2" type="noConversion"/>
  </si>
  <si>
    <t>switch</t>
  </si>
  <si>
    <t>수식,수식결과1,리턴1, 수식결과2,리턴2,수식결과3,리턴3</t>
    <phoneticPr fontId="2" type="noConversion"/>
  </si>
  <si>
    <t>리턴값</t>
    <phoneticPr fontId="2" type="noConversion"/>
  </si>
  <si>
    <t>수식결과에 따른 리턴값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</si>
</sst>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yy/mm/dd"/>
    <numFmt numFmtId="177" formatCode="mm&quot;월&quot;\ dd&quot;일&quot;"/>
  </numFmts>
  <fonts count="10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6" fillId="0" borderId="0"/>
    <xf numFmtId="0" fontId="1" fillId="0" borderId="0">
      <alignment vertical="center"/>
    </xf>
  </cellStyleXfs>
  <cellXfs count="45">
    <xf numFmtId="0" fontId="0" fillId="0" borderId="0" xfId="0">
      <alignment vertical="center"/>
    </xf>
    <xf numFmtId="0" fontId="3" fillId="0" borderId="0" xfId="0" applyFont="1" applyFill="1" applyAlignment="1">
      <alignment vertical="center"/>
    </xf>
    <xf numFmtId="0" fontId="4" fillId="0" borderId="0" xfId="0" applyFont="1" applyFill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7" fillId="0" borderId="0" xfId="2" applyFont="1" applyFill="1" applyAlignment="1">
      <alignment vertical="center"/>
    </xf>
    <xf numFmtId="0" fontId="3" fillId="0" borderId="0" xfId="2" applyFont="1" applyFill="1" applyAlignment="1">
      <alignment vertical="center"/>
    </xf>
    <xf numFmtId="0" fontId="4" fillId="0" borderId="0" xfId="2" applyFont="1" applyFill="1" applyAlignment="1">
      <alignment vertical="center"/>
    </xf>
    <xf numFmtId="0" fontId="3" fillId="0" borderId="1" xfId="2" applyFont="1" applyFill="1" applyBorder="1" applyAlignment="1">
      <alignment horizontal="center" vertical="center"/>
    </xf>
    <xf numFmtId="176" fontId="3" fillId="0" borderId="1" xfId="0" applyNumberFormat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vertical="center"/>
    </xf>
    <xf numFmtId="0" fontId="7" fillId="0" borderId="0" xfId="0" applyFont="1" applyFill="1" applyAlignment="1">
      <alignment vertical="center"/>
    </xf>
    <xf numFmtId="0" fontId="3" fillId="0" borderId="1" xfId="0" applyNumberFormat="1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8" fillId="0" borderId="0" xfId="0" applyFont="1" applyFill="1" applyAlignment="1">
      <alignment vertical="center"/>
    </xf>
    <xf numFmtId="0" fontId="3" fillId="0" borderId="1" xfId="2" applyFont="1" applyFill="1" applyBorder="1" applyAlignment="1">
      <alignment horizontal="center" vertical="center"/>
    </xf>
    <xf numFmtId="177" fontId="3" fillId="0" borderId="1" xfId="2" applyNumberFormat="1" applyFont="1" applyFill="1" applyBorder="1" applyAlignment="1">
      <alignment horizontal="center" vertical="center"/>
    </xf>
    <xf numFmtId="0" fontId="9" fillId="0" borderId="0" xfId="3" applyFont="1" applyFill="1" applyAlignment="1">
      <alignment vertical="center"/>
    </xf>
    <xf numFmtId="0" fontId="9" fillId="0" borderId="1" xfId="3" applyFont="1" applyFill="1" applyBorder="1" applyAlignment="1">
      <alignment horizontal="center" vertical="center"/>
    </xf>
    <xf numFmtId="0" fontId="9" fillId="0" borderId="1" xfId="3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/>
    </xf>
    <xf numFmtId="0" fontId="9" fillId="2" borderId="1" xfId="3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2" applyFont="1" applyBorder="1" applyAlignment="1">
      <alignment horizontal="center" vertical="center"/>
    </xf>
    <xf numFmtId="41" fontId="3" fillId="0" borderId="1" xfId="1" applyFont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3" fillId="0" borderId="1" xfId="2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3" fillId="0" borderId="1" xfId="0" applyFont="1" applyFill="1" applyBorder="1" applyAlignment="1">
      <alignment horizontal="left" vertical="center"/>
    </xf>
    <xf numFmtId="0" fontId="0" fillId="0" borderId="1" xfId="0" quotePrefix="1" applyBorder="1">
      <alignment vertical="center"/>
    </xf>
    <xf numFmtId="0" fontId="0" fillId="0" borderId="1" xfId="0" applyBorder="1" applyAlignment="1">
      <alignment horizontal="right" vertical="center"/>
    </xf>
    <xf numFmtId="0" fontId="0" fillId="0" borderId="4" xfId="0" applyBorder="1">
      <alignment vertical="center"/>
    </xf>
    <xf numFmtId="0" fontId="0" fillId="0" borderId="4" xfId="0" quotePrefix="1" applyBorder="1">
      <alignment vertical="center"/>
    </xf>
    <xf numFmtId="9" fontId="0" fillId="0" borderId="1" xfId="0" applyNumberFormat="1" applyBorder="1">
      <alignment vertical="center"/>
    </xf>
    <xf numFmtId="1" fontId="0" fillId="0" borderId="1" xfId="0" applyNumberFormat="1" applyBorder="1">
      <alignment vertical="center"/>
    </xf>
    <xf numFmtId="0" fontId="0" fillId="0" borderId="5" xfId="0" applyFill="1" applyBorder="1">
      <alignment vertical="center"/>
    </xf>
    <xf numFmtId="0" fontId="3" fillId="0" borderId="2" xfId="2" applyFont="1" applyFill="1" applyBorder="1" applyAlignment="1">
      <alignment horizontal="center" vertical="center"/>
    </xf>
    <xf numFmtId="0" fontId="3" fillId="0" borderId="3" xfId="2" applyFont="1" applyFill="1" applyBorder="1" applyAlignment="1">
      <alignment horizontal="center" vertical="center"/>
    </xf>
    <xf numFmtId="0" fontId="3" fillId="0" borderId="1" xfId="2" applyFont="1" applyFill="1" applyBorder="1" applyAlignment="1">
      <alignment horizontal="center" vertical="center"/>
    </xf>
    <xf numFmtId="0" fontId="0" fillId="0" borderId="0" xfId="0" quotePrefix="1">
      <alignment vertical="center"/>
    </xf>
    <xf numFmtId="0" fontId="3" fillId="0" borderId="6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00000000-0005-0000-0000-000002000000}"/>
    <cellStyle name="표준_소책자(1급)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96"/>
  <sheetViews>
    <sheetView topLeftCell="E19" zoomScale="190" zoomScaleNormal="190" workbookViewId="0">
      <selection activeCell="G23" sqref="G23"/>
    </sheetView>
  </sheetViews>
  <sheetFormatPr defaultRowHeight="16.5" x14ac:dyDescent="0.3"/>
  <cols>
    <col min="2" max="2" width="15.75" customWidth="1"/>
    <col min="3" max="3" width="13.5" customWidth="1"/>
    <col min="4" max="4" width="13.125" customWidth="1"/>
  </cols>
  <sheetData>
    <row r="1" spans="1:11" x14ac:dyDescent="0.3">
      <c r="A1" s="1"/>
      <c r="B1" s="2" t="s">
        <v>0</v>
      </c>
      <c r="C1" s="1"/>
      <c r="D1" s="1"/>
    </row>
    <row r="2" spans="1:11" x14ac:dyDescent="0.3">
      <c r="A2" s="3" t="s">
        <v>1</v>
      </c>
      <c r="B2" s="3" t="s">
        <v>2</v>
      </c>
      <c r="C2" s="3" t="s">
        <v>3</v>
      </c>
      <c r="D2" s="19" t="s">
        <v>4</v>
      </c>
      <c r="G2" t="s">
        <v>246</v>
      </c>
    </row>
    <row r="3" spans="1:11" x14ac:dyDescent="0.3">
      <c r="A3" s="3" t="s">
        <v>5</v>
      </c>
      <c r="B3" s="3" t="s">
        <v>6</v>
      </c>
      <c r="C3" s="3">
        <v>95.8</v>
      </c>
      <c r="D3" s="22" t="str">
        <f>IF(C3&gt;=90,"우수",IF(C3&gt;=80,"보통","분발"))</f>
        <v>우수</v>
      </c>
      <c r="G3" t="s">
        <v>244</v>
      </c>
    </row>
    <row r="4" spans="1:11" x14ac:dyDescent="0.3">
      <c r="A4" s="3" t="s">
        <v>7</v>
      </c>
      <c r="B4" s="3" t="s">
        <v>8</v>
      </c>
      <c r="C4" s="3">
        <v>88.5</v>
      </c>
      <c r="D4" s="22" t="str">
        <f t="shared" ref="D4:D7" si="0">IF(C4&gt;=90,"우수",IF(C4&gt;=80,"보통","분발"))</f>
        <v>보통</v>
      </c>
      <c r="G4" t="s">
        <v>245</v>
      </c>
    </row>
    <row r="5" spans="1:11" x14ac:dyDescent="0.3">
      <c r="A5" s="3" t="s">
        <v>9</v>
      </c>
      <c r="B5" s="3" t="s">
        <v>10</v>
      </c>
      <c r="C5" s="3">
        <v>72.599999999999994</v>
      </c>
      <c r="D5" s="22" t="str">
        <f t="shared" si="0"/>
        <v>분발</v>
      </c>
    </row>
    <row r="6" spans="1:11" x14ac:dyDescent="0.3">
      <c r="A6" s="3" t="s">
        <v>11</v>
      </c>
      <c r="B6" s="3" t="s">
        <v>8</v>
      </c>
      <c r="C6" s="3">
        <v>61.9</v>
      </c>
      <c r="D6" s="22" t="str">
        <f t="shared" si="0"/>
        <v>분발</v>
      </c>
      <c r="G6" t="s">
        <v>247</v>
      </c>
    </row>
    <row r="7" spans="1:11" x14ac:dyDescent="0.3">
      <c r="A7" s="3" t="s">
        <v>12</v>
      </c>
      <c r="B7" s="3" t="s">
        <v>10</v>
      </c>
      <c r="C7" s="3">
        <v>88</v>
      </c>
      <c r="D7" s="22" t="str">
        <f t="shared" si="0"/>
        <v>보통</v>
      </c>
      <c r="G7" t="s">
        <v>248</v>
      </c>
      <c r="I7" t="s">
        <v>251</v>
      </c>
    </row>
    <row r="8" spans="1:11" x14ac:dyDescent="0.3">
      <c r="G8" t="s">
        <v>249</v>
      </c>
      <c r="I8" t="s">
        <v>252</v>
      </c>
    </row>
    <row r="9" spans="1:11" x14ac:dyDescent="0.3">
      <c r="A9" s="3" t="s">
        <v>136</v>
      </c>
      <c r="B9" s="30"/>
      <c r="C9" s="30"/>
      <c r="D9" s="30"/>
      <c r="E9" s="30"/>
      <c r="G9" t="s">
        <v>250</v>
      </c>
      <c r="I9" t="s">
        <v>253</v>
      </c>
    </row>
    <row r="10" spans="1:11" x14ac:dyDescent="0.3">
      <c r="A10" s="30"/>
      <c r="B10" s="3" t="s">
        <v>137</v>
      </c>
      <c r="C10" s="3" t="s">
        <v>138</v>
      </c>
      <c r="D10" s="30"/>
      <c r="E10" s="30">
        <v>8</v>
      </c>
    </row>
    <row r="11" spans="1:11" x14ac:dyDescent="0.3">
      <c r="A11" s="30"/>
      <c r="B11" s="31" t="s">
        <v>139</v>
      </c>
      <c r="C11" s="30"/>
      <c r="D11" s="30"/>
      <c r="E11" s="30"/>
      <c r="G11" s="42" t="s">
        <v>254</v>
      </c>
      <c r="K11" t="str">
        <f>IF(TRUE,"참이지롱","거짓부렁")</f>
        <v>참이지롱</v>
      </c>
    </row>
    <row r="12" spans="1:11" x14ac:dyDescent="0.3">
      <c r="A12" s="30"/>
      <c r="B12" s="30" t="s">
        <v>140</v>
      </c>
      <c r="C12" s="30"/>
      <c r="D12" s="30"/>
      <c r="E12" s="30"/>
      <c r="G12" t="s">
        <v>256</v>
      </c>
      <c r="H12" t="s">
        <v>255</v>
      </c>
    </row>
    <row r="13" spans="1:11" x14ac:dyDescent="0.3">
      <c r="A13" s="30"/>
      <c r="B13" s="32" t="s">
        <v>144</v>
      </c>
      <c r="C13" s="30"/>
      <c r="D13" s="30"/>
      <c r="E13" s="30"/>
      <c r="G13" t="s">
        <v>257</v>
      </c>
      <c r="H13" t="s">
        <v>258</v>
      </c>
    </row>
    <row r="14" spans="1:11" x14ac:dyDescent="0.3">
      <c r="A14" s="30"/>
      <c r="B14" s="32" t="s">
        <v>147</v>
      </c>
      <c r="C14" s="30"/>
      <c r="D14" s="30" t="s">
        <v>150</v>
      </c>
      <c r="E14" s="30"/>
      <c r="G14" t="s">
        <v>259</v>
      </c>
      <c r="H14" t="s">
        <v>260</v>
      </c>
    </row>
    <row r="15" spans="1:11" x14ac:dyDescent="0.3">
      <c r="A15" s="30"/>
      <c r="B15" s="32" t="s">
        <v>148</v>
      </c>
      <c r="C15" s="30"/>
      <c r="D15" s="30" t="s">
        <v>149</v>
      </c>
      <c r="E15" s="30"/>
    </row>
    <row r="16" spans="1:11" x14ac:dyDescent="0.3">
      <c r="A16" s="30"/>
      <c r="B16" s="30"/>
      <c r="C16" s="30"/>
      <c r="D16" s="30"/>
      <c r="E16" s="30"/>
      <c r="G16" t="b">
        <v>0</v>
      </c>
    </row>
    <row r="17" spans="1:11" x14ac:dyDescent="0.3">
      <c r="A17" s="30" t="s">
        <v>141</v>
      </c>
      <c r="B17" s="30"/>
      <c r="C17" s="30"/>
      <c r="D17" s="30"/>
      <c r="E17" s="30"/>
      <c r="G17" t="s">
        <v>261</v>
      </c>
    </row>
    <row r="18" spans="1:11" x14ac:dyDescent="0.3">
      <c r="A18" s="30"/>
      <c r="B18" s="32" t="s">
        <v>142</v>
      </c>
      <c r="C18" s="30">
        <f>5+3</f>
        <v>8</v>
      </c>
      <c r="D18" s="30"/>
      <c r="E18" s="30" t="s">
        <v>146</v>
      </c>
      <c r="G18" t="s">
        <v>262</v>
      </c>
    </row>
    <row r="19" spans="1:11" x14ac:dyDescent="0.3">
      <c r="A19" s="30"/>
      <c r="B19" s="30" t="s">
        <v>143</v>
      </c>
      <c r="C19" s="30"/>
      <c r="D19" s="30"/>
      <c r="E19" s="30"/>
      <c r="G19" s="42" t="s">
        <v>263</v>
      </c>
      <c r="I19" t="str">
        <f>IF(G16,G17,G18)</f>
        <v>뻥이지요</v>
      </c>
    </row>
    <row r="20" spans="1:11" x14ac:dyDescent="0.3">
      <c r="A20" s="30"/>
      <c r="B20" s="32" t="s">
        <v>145</v>
      </c>
      <c r="C20" s="30">
        <f>7</f>
        <v>7</v>
      </c>
      <c r="D20" s="30"/>
      <c r="E20" s="30">
        <v>7</v>
      </c>
    </row>
    <row r="21" spans="1:11" x14ac:dyDescent="0.3">
      <c r="A21" s="30"/>
      <c r="B21" s="30" t="s">
        <v>157</v>
      </c>
      <c r="C21" s="30"/>
      <c r="D21" s="30"/>
      <c r="E21" s="30"/>
      <c r="G21">
        <v>72</v>
      </c>
    </row>
    <row r="22" spans="1:11" x14ac:dyDescent="0.3">
      <c r="A22" s="30"/>
      <c r="B22" s="33" t="s">
        <v>151</v>
      </c>
      <c r="C22" s="30">
        <v>9</v>
      </c>
      <c r="D22" s="33" t="s">
        <v>152</v>
      </c>
      <c r="E22" s="30">
        <v>4</v>
      </c>
      <c r="G22" s="42" t="s">
        <v>264</v>
      </c>
      <c r="J22" t="str">
        <f>IF(G21&gt;=80,"합격","불합격")</f>
        <v>불합격</v>
      </c>
    </row>
    <row r="23" spans="1:11" x14ac:dyDescent="0.3">
      <c r="A23" s="30"/>
      <c r="B23" s="33" t="s">
        <v>153</v>
      </c>
      <c r="C23" s="32" t="s">
        <v>154</v>
      </c>
      <c r="D23" s="30">
        <f>C22+E22</f>
        <v>13</v>
      </c>
      <c r="E23" s="30"/>
      <c r="G23" s="42" t="s">
        <v>265</v>
      </c>
    </row>
    <row r="24" spans="1:11" x14ac:dyDescent="0.3">
      <c r="A24" s="30"/>
      <c r="B24" s="30"/>
      <c r="C24" s="30"/>
      <c r="D24" s="30"/>
      <c r="E24" s="30"/>
      <c r="G24" t="str">
        <f>IF(G21&gt;=80,"우수",IF(G21&gt;=60,"양호",IF(G21&gt;=40,"정상","미달")))</f>
        <v>양호</v>
      </c>
    </row>
    <row r="25" spans="1:11" x14ac:dyDescent="0.3">
      <c r="A25" s="30"/>
      <c r="B25" s="30" t="s">
        <v>156</v>
      </c>
      <c r="C25" s="30">
        <v>10</v>
      </c>
      <c r="D25" s="30"/>
      <c r="E25" s="30">
        <v>20</v>
      </c>
      <c r="G25" s="42" t="s">
        <v>266</v>
      </c>
    </row>
    <row r="26" spans="1:11" x14ac:dyDescent="0.3">
      <c r="A26" s="30"/>
      <c r="B26" s="34"/>
      <c r="C26" s="35" t="s">
        <v>155</v>
      </c>
      <c r="D26" s="34"/>
      <c r="E26" s="34">
        <f>변수1+변수2</f>
        <v>30</v>
      </c>
      <c r="G26" t="str">
        <f>IF(G21&gt;=80,"우수",IF(G21&gt;=40,"정상",IF(G21&gt;=60,"양호","미달")))</f>
        <v>정상</v>
      </c>
    </row>
    <row r="27" spans="1:11" x14ac:dyDescent="0.3">
      <c r="B27" s="30"/>
      <c r="C27" s="30"/>
      <c r="D27" s="30"/>
      <c r="E27" s="30"/>
      <c r="F27" s="30"/>
      <c r="G27" s="30"/>
      <c r="H27" s="30"/>
      <c r="I27" s="30"/>
      <c r="J27" s="30" t="s">
        <v>171</v>
      </c>
      <c r="K27" s="36">
        <v>0.1</v>
      </c>
    </row>
    <row r="28" spans="1:11" x14ac:dyDescent="0.3">
      <c r="B28" s="30" t="s">
        <v>158</v>
      </c>
      <c r="C28" s="30" t="s">
        <v>159</v>
      </c>
      <c r="D28" s="30" t="s">
        <v>160</v>
      </c>
      <c r="E28" s="30" t="s">
        <v>161</v>
      </c>
      <c r="F28" s="30" t="s">
        <v>167</v>
      </c>
      <c r="G28" s="30" t="s">
        <v>168</v>
      </c>
      <c r="H28" s="30"/>
      <c r="I28" s="30" t="s">
        <v>170</v>
      </c>
      <c r="J28" s="30"/>
      <c r="K28" s="30"/>
    </row>
    <row r="29" spans="1:11" x14ac:dyDescent="0.3">
      <c r="B29" s="30" t="s">
        <v>162</v>
      </c>
      <c r="C29" s="30">
        <v>76</v>
      </c>
      <c r="D29" s="30">
        <v>45</v>
      </c>
      <c r="E29" s="30">
        <v>98</v>
      </c>
      <c r="F29" s="30">
        <f>76+45+98</f>
        <v>219</v>
      </c>
      <c r="G29" s="30">
        <f>F29/3</f>
        <v>73</v>
      </c>
      <c r="H29" s="30"/>
      <c r="I29" s="37">
        <f>G29*$K$27</f>
        <v>7.3000000000000007</v>
      </c>
      <c r="J29" s="30"/>
      <c r="K29" s="30"/>
    </row>
    <row r="30" spans="1:11" x14ac:dyDescent="0.3">
      <c r="B30" s="30" t="s">
        <v>163</v>
      </c>
      <c r="C30" s="30">
        <v>32</v>
      </c>
      <c r="D30" s="30">
        <v>67</v>
      </c>
      <c r="E30" s="30">
        <v>92</v>
      </c>
      <c r="F30" s="30">
        <f>C30+D30+E30</f>
        <v>191</v>
      </c>
      <c r="G30" s="30">
        <f t="shared" ref="G30:G33" si="1">F30/3</f>
        <v>63.666666666666664</v>
      </c>
      <c r="H30" s="30"/>
      <c r="I30" s="37">
        <f>G30*$K$27</f>
        <v>6.3666666666666671</v>
      </c>
      <c r="J30" s="30"/>
      <c r="K30" s="30"/>
    </row>
    <row r="31" spans="1:11" x14ac:dyDescent="0.3">
      <c r="B31" s="30" t="s">
        <v>164</v>
      </c>
      <c r="C31" s="30">
        <v>95</v>
      </c>
      <c r="D31" s="30">
        <v>54</v>
      </c>
      <c r="E31" s="30">
        <v>77</v>
      </c>
      <c r="F31" s="30">
        <f>C31+D31+E31</f>
        <v>226</v>
      </c>
      <c r="G31" s="30">
        <f t="shared" si="1"/>
        <v>75.333333333333329</v>
      </c>
      <c r="H31" s="30"/>
      <c r="I31" s="37">
        <f>G31*$K$27</f>
        <v>7.5333333333333332</v>
      </c>
      <c r="J31" s="30"/>
      <c r="K31" s="30"/>
    </row>
    <row r="32" spans="1:11" x14ac:dyDescent="0.3">
      <c r="B32" s="30" t="s">
        <v>165</v>
      </c>
      <c r="C32" s="30">
        <v>67</v>
      </c>
      <c r="D32" s="30">
        <v>62</v>
      </c>
      <c r="E32" s="30">
        <v>64</v>
      </c>
      <c r="F32" s="30">
        <f t="shared" ref="F32:F33" si="2">C32+D32+E32</f>
        <v>193</v>
      </c>
      <c r="G32" s="30">
        <f t="shared" si="1"/>
        <v>64.333333333333329</v>
      </c>
      <c r="H32" s="30"/>
      <c r="I32" s="37">
        <f>G32*$K$27</f>
        <v>6.4333333333333336</v>
      </c>
      <c r="J32" s="30"/>
      <c r="K32" s="30"/>
    </row>
    <row r="33" spans="2:11" x14ac:dyDescent="0.3">
      <c r="B33" s="30" t="s">
        <v>166</v>
      </c>
      <c r="C33" s="30">
        <v>43</v>
      </c>
      <c r="D33" s="30">
        <v>91</v>
      </c>
      <c r="E33" s="30">
        <v>81</v>
      </c>
      <c r="F33" s="30">
        <f t="shared" si="2"/>
        <v>215</v>
      </c>
      <c r="G33" s="30">
        <f t="shared" si="1"/>
        <v>71.666666666666671</v>
      </c>
      <c r="H33" s="30"/>
      <c r="I33" s="37">
        <f>G33*$K$27</f>
        <v>7.1666666666666679</v>
      </c>
      <c r="J33" s="30"/>
      <c r="K33" s="30"/>
    </row>
    <row r="34" spans="2:11" x14ac:dyDescent="0.3">
      <c r="B34" s="30"/>
      <c r="C34" s="30"/>
      <c r="D34" s="30"/>
      <c r="E34" s="30"/>
      <c r="F34" s="30"/>
      <c r="G34" s="30"/>
      <c r="H34" s="30"/>
      <c r="I34" s="30"/>
      <c r="J34" s="30"/>
      <c r="K34" s="30"/>
    </row>
    <row r="35" spans="2:11" x14ac:dyDescent="0.3">
      <c r="B35" s="30" t="s">
        <v>169</v>
      </c>
      <c r="C35" s="30"/>
      <c r="D35" s="30"/>
      <c r="E35" s="30"/>
      <c r="F35" s="30"/>
      <c r="G35" s="30"/>
      <c r="H35" s="30" t="s">
        <v>173</v>
      </c>
      <c r="I35" s="30"/>
      <c r="J35" s="30"/>
      <c r="K35" s="30"/>
    </row>
    <row r="36" spans="2:11" x14ac:dyDescent="0.3">
      <c r="B36" s="30" t="s">
        <v>172</v>
      </c>
      <c r="C36" s="30"/>
      <c r="D36" s="30"/>
      <c r="E36" s="30"/>
      <c r="F36" s="30"/>
      <c r="G36" s="30"/>
      <c r="H36" s="30" t="s">
        <v>174</v>
      </c>
      <c r="I36" s="30"/>
      <c r="J36" s="30"/>
      <c r="K36" s="30"/>
    </row>
    <row r="37" spans="2:11" x14ac:dyDescent="0.3">
      <c r="B37" s="30" t="s">
        <v>178</v>
      </c>
      <c r="C37" s="30"/>
      <c r="D37" s="30"/>
      <c r="E37" s="30"/>
      <c r="F37" s="30"/>
      <c r="G37" s="30"/>
      <c r="H37" s="30"/>
      <c r="I37" s="30"/>
      <c r="J37" s="30" t="s">
        <v>179</v>
      </c>
      <c r="K37" s="30"/>
    </row>
    <row r="39" spans="2:11" x14ac:dyDescent="0.3">
      <c r="B39" s="30"/>
      <c r="C39" s="30" t="s">
        <v>175</v>
      </c>
      <c r="D39" s="30" t="s">
        <v>176</v>
      </c>
      <c r="E39" s="30"/>
      <c r="F39" s="30"/>
      <c r="G39" s="30"/>
      <c r="H39" s="30"/>
      <c r="I39" s="30"/>
      <c r="J39" s="30"/>
    </row>
    <row r="40" spans="2:11" x14ac:dyDescent="0.3">
      <c r="B40" s="30" t="s">
        <v>177</v>
      </c>
      <c r="C40" s="30">
        <v>2</v>
      </c>
      <c r="D40" s="30">
        <v>3</v>
      </c>
      <c r="E40" s="30">
        <v>4</v>
      </c>
      <c r="F40" s="30">
        <v>5</v>
      </c>
      <c r="G40" s="30">
        <v>6</v>
      </c>
      <c r="H40" s="30">
        <v>7</v>
      </c>
      <c r="I40" s="30">
        <v>8</v>
      </c>
      <c r="J40" s="30">
        <v>9</v>
      </c>
    </row>
    <row r="41" spans="2:11" x14ac:dyDescent="0.3">
      <c r="B41" s="30">
        <v>1</v>
      </c>
      <c r="C41" s="30">
        <f>C$40*$B41</f>
        <v>2</v>
      </c>
      <c r="D41" s="30">
        <f t="shared" ref="D41:J41" si="3">D$40*$B41</f>
        <v>3</v>
      </c>
      <c r="E41" s="30">
        <f t="shared" si="3"/>
        <v>4</v>
      </c>
      <c r="F41" s="30">
        <f t="shared" si="3"/>
        <v>5</v>
      </c>
      <c r="G41" s="30">
        <f t="shared" si="3"/>
        <v>6</v>
      </c>
      <c r="H41" s="30">
        <f t="shared" si="3"/>
        <v>7</v>
      </c>
      <c r="I41" s="30">
        <f t="shared" si="3"/>
        <v>8</v>
      </c>
      <c r="J41" s="30">
        <f t="shared" si="3"/>
        <v>9</v>
      </c>
    </row>
    <row r="42" spans="2:11" x14ac:dyDescent="0.3">
      <c r="B42" s="30">
        <v>2</v>
      </c>
      <c r="C42" s="30">
        <f t="shared" ref="C42:J49" si="4">C$40*$B42</f>
        <v>4</v>
      </c>
      <c r="D42" s="30">
        <f t="shared" si="4"/>
        <v>6</v>
      </c>
      <c r="E42" s="30">
        <f t="shared" si="4"/>
        <v>8</v>
      </c>
      <c r="F42" s="30">
        <f t="shared" si="4"/>
        <v>10</v>
      </c>
      <c r="G42" s="30">
        <f t="shared" si="4"/>
        <v>12</v>
      </c>
      <c r="H42" s="30">
        <f t="shared" si="4"/>
        <v>14</v>
      </c>
      <c r="I42" s="30">
        <f t="shared" si="4"/>
        <v>16</v>
      </c>
      <c r="J42" s="30">
        <f t="shared" si="4"/>
        <v>18</v>
      </c>
    </row>
    <row r="43" spans="2:11" x14ac:dyDescent="0.3">
      <c r="B43" s="30">
        <v>3</v>
      </c>
      <c r="C43" s="30">
        <f t="shared" si="4"/>
        <v>6</v>
      </c>
      <c r="D43" s="30">
        <f t="shared" si="4"/>
        <v>9</v>
      </c>
      <c r="E43" s="30">
        <f t="shared" si="4"/>
        <v>12</v>
      </c>
      <c r="F43" s="30">
        <f t="shared" si="4"/>
        <v>15</v>
      </c>
      <c r="G43" s="30">
        <f t="shared" si="4"/>
        <v>18</v>
      </c>
      <c r="H43" s="30">
        <f t="shared" si="4"/>
        <v>21</v>
      </c>
      <c r="I43" s="30">
        <f t="shared" si="4"/>
        <v>24</v>
      </c>
      <c r="J43" s="30">
        <f t="shared" si="4"/>
        <v>27</v>
      </c>
    </row>
    <row r="44" spans="2:11" x14ac:dyDescent="0.3">
      <c r="B44" s="30">
        <v>4</v>
      </c>
      <c r="C44" s="30">
        <f t="shared" si="4"/>
        <v>8</v>
      </c>
      <c r="D44" s="30">
        <f t="shared" si="4"/>
        <v>12</v>
      </c>
      <c r="E44" s="30">
        <f t="shared" si="4"/>
        <v>16</v>
      </c>
      <c r="F44" s="30">
        <f t="shared" si="4"/>
        <v>20</v>
      </c>
      <c r="G44" s="30">
        <f t="shared" si="4"/>
        <v>24</v>
      </c>
      <c r="H44" s="30">
        <f t="shared" si="4"/>
        <v>28</v>
      </c>
      <c r="I44" s="30">
        <f t="shared" si="4"/>
        <v>32</v>
      </c>
      <c r="J44" s="30">
        <f t="shared" si="4"/>
        <v>36</v>
      </c>
    </row>
    <row r="45" spans="2:11" x14ac:dyDescent="0.3">
      <c r="B45" s="30">
        <v>5</v>
      </c>
      <c r="C45" s="30">
        <f t="shared" si="4"/>
        <v>10</v>
      </c>
      <c r="D45" s="30">
        <f t="shared" si="4"/>
        <v>15</v>
      </c>
      <c r="E45" s="30">
        <f t="shared" si="4"/>
        <v>20</v>
      </c>
      <c r="F45" s="30">
        <f t="shared" si="4"/>
        <v>25</v>
      </c>
      <c r="G45" s="30">
        <f t="shared" si="4"/>
        <v>30</v>
      </c>
      <c r="H45" s="30">
        <f t="shared" si="4"/>
        <v>35</v>
      </c>
      <c r="I45" s="30">
        <f t="shared" si="4"/>
        <v>40</v>
      </c>
      <c r="J45" s="30">
        <f t="shared" si="4"/>
        <v>45</v>
      </c>
    </row>
    <row r="46" spans="2:11" x14ac:dyDescent="0.3">
      <c r="B46" s="30">
        <v>6</v>
      </c>
      <c r="C46" s="30">
        <f t="shared" si="4"/>
        <v>12</v>
      </c>
      <c r="D46" s="30">
        <f t="shared" si="4"/>
        <v>18</v>
      </c>
      <c r="E46" s="30">
        <f t="shared" si="4"/>
        <v>24</v>
      </c>
      <c r="F46" s="30">
        <f t="shared" si="4"/>
        <v>30</v>
      </c>
      <c r="G46" s="30">
        <f t="shared" si="4"/>
        <v>36</v>
      </c>
      <c r="H46" s="30">
        <f t="shared" si="4"/>
        <v>42</v>
      </c>
      <c r="I46" s="30">
        <f t="shared" si="4"/>
        <v>48</v>
      </c>
      <c r="J46" s="30">
        <f t="shared" si="4"/>
        <v>54</v>
      </c>
    </row>
    <row r="47" spans="2:11" x14ac:dyDescent="0.3">
      <c r="B47" s="30">
        <v>7</v>
      </c>
      <c r="C47" s="30">
        <f t="shared" si="4"/>
        <v>14</v>
      </c>
      <c r="D47" s="30">
        <f t="shared" si="4"/>
        <v>21</v>
      </c>
      <c r="E47" s="30">
        <f t="shared" si="4"/>
        <v>28</v>
      </c>
      <c r="F47" s="30">
        <f t="shared" si="4"/>
        <v>35</v>
      </c>
      <c r="G47" s="30">
        <f t="shared" si="4"/>
        <v>42</v>
      </c>
      <c r="H47" s="30">
        <f t="shared" si="4"/>
        <v>49</v>
      </c>
      <c r="I47" s="30">
        <f t="shared" si="4"/>
        <v>56</v>
      </c>
      <c r="J47" s="30">
        <f t="shared" si="4"/>
        <v>63</v>
      </c>
    </row>
    <row r="48" spans="2:11" x14ac:dyDescent="0.3">
      <c r="B48" s="30">
        <v>8</v>
      </c>
      <c r="C48" s="30">
        <f t="shared" si="4"/>
        <v>16</v>
      </c>
      <c r="D48" s="30">
        <f t="shared" si="4"/>
        <v>24</v>
      </c>
      <c r="E48" s="30">
        <f t="shared" si="4"/>
        <v>32</v>
      </c>
      <c r="F48" s="30">
        <f t="shared" si="4"/>
        <v>40</v>
      </c>
      <c r="G48" s="30">
        <f t="shared" si="4"/>
        <v>48</v>
      </c>
      <c r="H48" s="30">
        <f t="shared" si="4"/>
        <v>56</v>
      </c>
      <c r="I48" s="30">
        <f t="shared" si="4"/>
        <v>64</v>
      </c>
      <c r="J48" s="30">
        <f t="shared" si="4"/>
        <v>72</v>
      </c>
    </row>
    <row r="49" spans="2:10" x14ac:dyDescent="0.3">
      <c r="B49" s="30">
        <v>9</v>
      </c>
      <c r="C49" s="30">
        <f t="shared" si="4"/>
        <v>18</v>
      </c>
      <c r="D49" s="30">
        <f t="shared" si="4"/>
        <v>27</v>
      </c>
      <c r="E49" s="30">
        <f t="shared" si="4"/>
        <v>36</v>
      </c>
      <c r="F49" s="30">
        <f t="shared" si="4"/>
        <v>45</v>
      </c>
      <c r="G49" s="30">
        <f t="shared" si="4"/>
        <v>54</v>
      </c>
      <c r="H49" s="30">
        <f t="shared" si="4"/>
        <v>63</v>
      </c>
      <c r="I49" s="30">
        <f t="shared" si="4"/>
        <v>72</v>
      </c>
      <c r="J49" s="30">
        <f t="shared" si="4"/>
        <v>81</v>
      </c>
    </row>
    <row r="51" spans="2:10" x14ac:dyDescent="0.3">
      <c r="B51" s="30" t="s">
        <v>180</v>
      </c>
      <c r="C51" s="30"/>
      <c r="D51" s="30"/>
      <c r="E51" s="30"/>
    </row>
    <row r="52" spans="2:10" x14ac:dyDescent="0.3">
      <c r="B52" s="30"/>
      <c r="C52" s="30" t="s">
        <v>181</v>
      </c>
      <c r="D52" s="30" t="s">
        <v>182</v>
      </c>
      <c r="E52" s="30" t="s">
        <v>183</v>
      </c>
    </row>
    <row r="53" spans="2:10" x14ac:dyDescent="0.3">
      <c r="B53" s="30"/>
      <c r="C53" s="30">
        <v>900</v>
      </c>
      <c r="D53" s="30">
        <v>850</v>
      </c>
      <c r="E53" s="30">
        <v>800</v>
      </c>
    </row>
    <row r="54" spans="2:10" x14ac:dyDescent="0.3">
      <c r="B54" s="30" t="s">
        <v>184</v>
      </c>
      <c r="C54" s="30"/>
      <c r="D54" s="30"/>
      <c r="E54" s="30"/>
    </row>
    <row r="55" spans="2:10" x14ac:dyDescent="0.3">
      <c r="B55" s="30" t="s">
        <v>187</v>
      </c>
      <c r="C55" s="36">
        <v>0.85</v>
      </c>
      <c r="D55" s="30"/>
      <c r="E55" s="30"/>
    </row>
    <row r="56" spans="2:10" x14ac:dyDescent="0.3">
      <c r="B56" s="30" t="s">
        <v>185</v>
      </c>
      <c r="C56" s="36">
        <v>0.8</v>
      </c>
      <c r="D56" s="30"/>
      <c r="E56" s="30"/>
    </row>
    <row r="57" spans="2:10" x14ac:dyDescent="0.3">
      <c r="B57" s="30" t="s">
        <v>186</v>
      </c>
      <c r="C57" s="36">
        <v>0.9</v>
      </c>
      <c r="D57" s="30"/>
      <c r="E57" s="30"/>
    </row>
    <row r="58" spans="2:10" x14ac:dyDescent="0.3">
      <c r="B58" s="30"/>
      <c r="C58" s="30"/>
      <c r="D58" s="30"/>
      <c r="E58" s="30"/>
    </row>
    <row r="59" spans="2:10" x14ac:dyDescent="0.3">
      <c r="B59" s="30" t="s">
        <v>188</v>
      </c>
      <c r="C59" s="30"/>
      <c r="D59" s="30"/>
      <c r="E59" s="30"/>
    </row>
    <row r="60" spans="2:10" x14ac:dyDescent="0.3">
      <c r="B60" s="30"/>
      <c r="C60" s="30" t="str">
        <f>C52</f>
        <v>A대학</v>
      </c>
      <c r="D60" s="30" t="str">
        <f t="shared" ref="D60:E60" si="5">D52</f>
        <v>B대학</v>
      </c>
      <c r="E60" s="30" t="str">
        <f t="shared" si="5"/>
        <v>C대학</v>
      </c>
    </row>
    <row r="61" spans="2:10" x14ac:dyDescent="0.3">
      <c r="B61" s="30" t="str">
        <f>B55</f>
        <v>컴퓨터공학과</v>
      </c>
      <c r="C61" s="30">
        <f>C$53*$C55</f>
        <v>765</v>
      </c>
      <c r="D61" s="30">
        <f t="shared" ref="D61:E61" si="6">D$53*$C55</f>
        <v>722.5</v>
      </c>
      <c r="E61" s="30">
        <f t="shared" si="6"/>
        <v>680</v>
      </c>
    </row>
    <row r="62" spans="2:10" x14ac:dyDescent="0.3">
      <c r="B62" s="30" t="str">
        <f t="shared" ref="B62:B63" si="7">B56</f>
        <v>간호학과</v>
      </c>
      <c r="C62" s="30">
        <f t="shared" ref="C62:E63" si="8">C$53*$C56</f>
        <v>720</v>
      </c>
      <c r="D62" s="30">
        <f t="shared" si="8"/>
        <v>680</v>
      </c>
      <c r="E62" s="30">
        <f t="shared" si="8"/>
        <v>640</v>
      </c>
    </row>
    <row r="63" spans="2:10" x14ac:dyDescent="0.3">
      <c r="B63" s="30" t="str">
        <f t="shared" si="7"/>
        <v>경영학과</v>
      </c>
      <c r="C63" s="30">
        <f t="shared" si="8"/>
        <v>810</v>
      </c>
      <c r="D63" s="30">
        <f t="shared" si="8"/>
        <v>765</v>
      </c>
      <c r="E63" s="30">
        <f t="shared" si="8"/>
        <v>720</v>
      </c>
    </row>
    <row r="65" spans="2:5" x14ac:dyDescent="0.3">
      <c r="B65" s="30" t="s">
        <v>189</v>
      </c>
      <c r="C65" s="30"/>
      <c r="D65" s="30"/>
      <c r="E65" s="30"/>
    </row>
    <row r="66" spans="2:5" x14ac:dyDescent="0.3">
      <c r="B66" s="30" t="s">
        <v>190</v>
      </c>
      <c r="C66" s="30" t="s">
        <v>213</v>
      </c>
      <c r="D66" s="30"/>
      <c r="E66" s="30"/>
    </row>
    <row r="67" spans="2:5" x14ac:dyDescent="0.3">
      <c r="B67" s="30"/>
      <c r="C67" s="30" t="s">
        <v>211</v>
      </c>
      <c r="D67" s="30" t="s">
        <v>212</v>
      </c>
      <c r="E67" s="30"/>
    </row>
    <row r="68" spans="2:5" x14ac:dyDescent="0.3">
      <c r="B68" s="30"/>
      <c r="C68" s="30"/>
      <c r="D68" s="30">
        <v>15</v>
      </c>
      <c r="E68" s="30">
        <v>7</v>
      </c>
    </row>
    <row r="69" spans="2:5" x14ac:dyDescent="0.3">
      <c r="B69" s="30" t="s">
        <v>191</v>
      </c>
      <c r="C69" s="30" t="s">
        <v>197</v>
      </c>
      <c r="D69" s="32" t="s">
        <v>203</v>
      </c>
      <c r="E69" s="30">
        <f>D68+E68</f>
        <v>22</v>
      </c>
    </row>
    <row r="70" spans="2:5" x14ac:dyDescent="0.3">
      <c r="B70" s="30" t="s">
        <v>192</v>
      </c>
      <c r="C70" s="30" t="s">
        <v>198</v>
      </c>
      <c r="D70" s="32" t="s">
        <v>204</v>
      </c>
      <c r="E70" s="30">
        <f>D68-E68</f>
        <v>8</v>
      </c>
    </row>
    <row r="71" spans="2:5" x14ac:dyDescent="0.3">
      <c r="B71" s="30" t="s">
        <v>193</v>
      </c>
      <c r="C71" s="30" t="s">
        <v>177</v>
      </c>
      <c r="D71" s="32" t="s">
        <v>205</v>
      </c>
      <c r="E71" s="30">
        <f>D68*E68</f>
        <v>105</v>
      </c>
    </row>
    <row r="72" spans="2:5" x14ac:dyDescent="0.3">
      <c r="B72" s="30" t="s">
        <v>194</v>
      </c>
      <c r="C72" s="30" t="s">
        <v>199</v>
      </c>
      <c r="D72" s="32" t="s">
        <v>206</v>
      </c>
      <c r="E72" s="30">
        <f>D68/E68</f>
        <v>2.1428571428571428</v>
      </c>
    </row>
    <row r="73" spans="2:5" x14ac:dyDescent="0.3">
      <c r="B73" s="30" t="s">
        <v>195</v>
      </c>
      <c r="C73" s="30" t="s">
        <v>200</v>
      </c>
      <c r="D73" s="32" t="s">
        <v>207</v>
      </c>
      <c r="E73" s="30">
        <f>3^3</f>
        <v>27</v>
      </c>
    </row>
    <row r="74" spans="2:5" x14ac:dyDescent="0.3">
      <c r="B74" s="30" t="s">
        <v>196</v>
      </c>
      <c r="C74" s="30" t="s">
        <v>201</v>
      </c>
      <c r="D74" s="32" t="s">
        <v>208</v>
      </c>
      <c r="E74" s="30">
        <f>D68%</f>
        <v>0.15</v>
      </c>
    </row>
    <row r="75" spans="2:5" x14ac:dyDescent="0.3">
      <c r="B75" s="30"/>
      <c r="C75" s="30"/>
      <c r="D75" s="30"/>
      <c r="E75" s="30"/>
    </row>
    <row r="76" spans="2:5" x14ac:dyDescent="0.3">
      <c r="B76" s="30" t="s">
        <v>209</v>
      </c>
      <c r="C76" s="30" t="s">
        <v>210</v>
      </c>
      <c r="D76" s="30"/>
      <c r="E76" s="30"/>
    </row>
    <row r="77" spans="2:5" x14ac:dyDescent="0.3">
      <c r="B77" s="30"/>
      <c r="C77" s="30" t="s">
        <v>234</v>
      </c>
      <c r="D77" s="30" t="s">
        <v>214</v>
      </c>
      <c r="E77" s="30" t="s">
        <v>226</v>
      </c>
    </row>
    <row r="78" spans="2:5" x14ac:dyDescent="0.3">
      <c r="B78" s="30"/>
      <c r="C78" s="30"/>
      <c r="D78" s="30" t="s">
        <v>233</v>
      </c>
      <c r="E78" s="30" t="s">
        <v>235</v>
      </c>
    </row>
    <row r="79" spans="2:5" x14ac:dyDescent="0.3">
      <c r="B79" s="30" t="s">
        <v>215</v>
      </c>
      <c r="C79" s="30" t="s">
        <v>220</v>
      </c>
      <c r="D79" s="32" t="s">
        <v>227</v>
      </c>
      <c r="E79" s="30" t="b">
        <f>D78&gt;E78</f>
        <v>1</v>
      </c>
    </row>
    <row r="80" spans="2:5" x14ac:dyDescent="0.3">
      <c r="B80" s="30" t="s">
        <v>216</v>
      </c>
      <c r="C80" s="30" t="s">
        <v>221</v>
      </c>
      <c r="D80" s="32" t="s">
        <v>228</v>
      </c>
      <c r="E80" s="30" t="b">
        <f>D78&gt;=E78</f>
        <v>1</v>
      </c>
    </row>
    <row r="81" spans="2:8" x14ac:dyDescent="0.3">
      <c r="B81" s="30" t="s">
        <v>217</v>
      </c>
      <c r="C81" s="30" t="s">
        <v>222</v>
      </c>
      <c r="D81" s="32" t="s">
        <v>229</v>
      </c>
      <c r="E81" s="30" t="b">
        <f>D78&lt;=E78</f>
        <v>0</v>
      </c>
    </row>
    <row r="82" spans="2:8" x14ac:dyDescent="0.3">
      <c r="B82" s="30" t="s">
        <v>218</v>
      </c>
      <c r="C82" s="30" t="s">
        <v>223</v>
      </c>
      <c r="D82" s="32" t="s">
        <v>230</v>
      </c>
      <c r="E82" s="30" t="b">
        <f>D78&lt;E78</f>
        <v>0</v>
      </c>
    </row>
    <row r="83" spans="2:8" x14ac:dyDescent="0.3">
      <c r="B83" s="32" t="s">
        <v>202</v>
      </c>
      <c r="C83" s="30" t="s">
        <v>224</v>
      </c>
      <c r="D83" s="32" t="s">
        <v>231</v>
      </c>
      <c r="E83" s="30" t="b">
        <f>D78=E78</f>
        <v>0</v>
      </c>
    </row>
    <row r="84" spans="2:8" x14ac:dyDescent="0.3">
      <c r="B84" s="30" t="s">
        <v>219</v>
      </c>
      <c r="C84" s="30" t="s">
        <v>225</v>
      </c>
      <c r="D84" s="32" t="s">
        <v>232</v>
      </c>
      <c r="E84" s="30" t="b">
        <f>D78&lt;&gt;E78</f>
        <v>1</v>
      </c>
    </row>
    <row r="85" spans="2:8" x14ac:dyDescent="0.3">
      <c r="B85" s="30"/>
      <c r="C85" s="30"/>
      <c r="D85" s="30"/>
      <c r="E85" s="30"/>
    </row>
    <row r="86" spans="2:8" x14ac:dyDescent="0.3">
      <c r="B86" s="30" t="s">
        <v>236</v>
      </c>
      <c r="C86" s="30" t="s">
        <v>237</v>
      </c>
      <c r="D86" s="30"/>
      <c r="E86" s="30"/>
    </row>
    <row r="87" spans="2:8" x14ac:dyDescent="0.3">
      <c r="B87" s="30"/>
      <c r="C87" s="30" t="s">
        <v>234</v>
      </c>
      <c r="D87" s="30" t="s">
        <v>238</v>
      </c>
      <c r="E87" s="30"/>
    </row>
    <row r="88" spans="2:8" x14ac:dyDescent="0.3">
      <c r="B88" s="30"/>
      <c r="C88" s="30"/>
      <c r="D88" s="30">
        <v>15</v>
      </c>
      <c r="E88" s="30" t="s">
        <v>233</v>
      </c>
    </row>
    <row r="89" spans="2:8" x14ac:dyDescent="0.3">
      <c r="B89" s="30" t="s">
        <v>239</v>
      </c>
      <c r="C89" s="30" t="s">
        <v>240</v>
      </c>
      <c r="D89" s="32" t="s">
        <v>241</v>
      </c>
      <c r="E89" s="30" t="str">
        <f>D88&amp;E88</f>
        <v>15정우성</v>
      </c>
    </row>
    <row r="90" spans="2:8" x14ac:dyDescent="0.3">
      <c r="G90" t="s">
        <v>243</v>
      </c>
      <c r="H90">
        <v>75</v>
      </c>
    </row>
    <row r="91" spans="2:8" x14ac:dyDescent="0.3">
      <c r="B91" s="30" t="s">
        <v>158</v>
      </c>
      <c r="C91" s="30" t="s">
        <v>159</v>
      </c>
      <c r="D91" s="30" t="s">
        <v>160</v>
      </c>
      <c r="E91" s="30" t="s">
        <v>161</v>
      </c>
      <c r="F91" s="30" t="s">
        <v>167</v>
      </c>
      <c r="G91" s="30" t="s">
        <v>168</v>
      </c>
      <c r="H91" s="38" t="s">
        <v>242</v>
      </c>
    </row>
    <row r="92" spans="2:8" x14ac:dyDescent="0.3">
      <c r="B92" s="30" t="s">
        <v>162</v>
      </c>
      <c r="C92" s="30">
        <v>76</v>
      </c>
      <c r="D92" s="30">
        <v>45</v>
      </c>
      <c r="E92" s="30">
        <v>98</v>
      </c>
      <c r="F92" s="30">
        <f>C92+D92+E92</f>
        <v>219</v>
      </c>
      <c r="G92" s="30">
        <f>F92/3</f>
        <v>73</v>
      </c>
      <c r="H92" t="b">
        <f>G92&gt;=$H$90</f>
        <v>0</v>
      </c>
    </row>
    <row r="93" spans="2:8" x14ac:dyDescent="0.3">
      <c r="B93" s="30" t="s">
        <v>163</v>
      </c>
      <c r="C93" s="30">
        <v>92</v>
      </c>
      <c r="D93" s="30">
        <v>67</v>
      </c>
      <c r="E93" s="30">
        <v>92</v>
      </c>
      <c r="F93" s="30">
        <f>C93+D93+E93</f>
        <v>251</v>
      </c>
      <c r="G93" s="30">
        <f t="shared" ref="G93:G96" si="9">F93/3</f>
        <v>83.666666666666671</v>
      </c>
      <c r="H93" t="b">
        <f>G93&gt;=$H$90</f>
        <v>1</v>
      </c>
    </row>
    <row r="94" spans="2:8" x14ac:dyDescent="0.3">
      <c r="B94" s="30" t="s">
        <v>164</v>
      </c>
      <c r="C94" s="30">
        <v>95</v>
      </c>
      <c r="D94" s="30">
        <v>54</v>
      </c>
      <c r="E94" s="30">
        <v>77</v>
      </c>
      <c r="F94" s="30">
        <f>C94+D94+E94</f>
        <v>226</v>
      </c>
      <c r="G94" s="30">
        <f t="shared" si="9"/>
        <v>75.333333333333329</v>
      </c>
      <c r="H94" t="b">
        <f>G94&gt;=$H$90</f>
        <v>1</v>
      </c>
    </row>
    <row r="95" spans="2:8" x14ac:dyDescent="0.3">
      <c r="B95" s="30" t="s">
        <v>165</v>
      </c>
      <c r="C95" s="30">
        <v>67</v>
      </c>
      <c r="D95" s="30">
        <v>62</v>
      </c>
      <c r="E95" s="30">
        <v>64</v>
      </c>
      <c r="F95" s="30">
        <f t="shared" ref="F95:F96" si="10">C95+D95+E95</f>
        <v>193</v>
      </c>
      <c r="G95" s="30">
        <f t="shared" si="9"/>
        <v>64.333333333333329</v>
      </c>
      <c r="H95" t="b">
        <f>G95&gt;=$H$90</f>
        <v>0</v>
      </c>
    </row>
    <row r="96" spans="2:8" x14ac:dyDescent="0.3">
      <c r="B96" s="30" t="s">
        <v>166</v>
      </c>
      <c r="C96" s="30">
        <v>99</v>
      </c>
      <c r="D96" s="30">
        <v>91</v>
      </c>
      <c r="E96" s="30">
        <v>81</v>
      </c>
      <c r="F96" s="30">
        <f t="shared" si="10"/>
        <v>271</v>
      </c>
      <c r="G96" s="30">
        <f t="shared" si="9"/>
        <v>90.333333333333329</v>
      </c>
      <c r="H96" t="b">
        <f>G96&gt;=$H$90</f>
        <v>1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7"/>
  <sheetViews>
    <sheetView workbookViewId="0">
      <selection activeCell="D3" sqref="D3"/>
    </sheetView>
  </sheetViews>
  <sheetFormatPr defaultRowHeight="16.5" x14ac:dyDescent="0.3"/>
  <sheetData>
    <row r="1" spans="1:4" x14ac:dyDescent="0.3">
      <c r="A1" s="1"/>
      <c r="B1" s="2" t="s">
        <v>0</v>
      </c>
      <c r="C1" s="1"/>
      <c r="D1" s="1"/>
    </row>
    <row r="2" spans="1:4" x14ac:dyDescent="0.3">
      <c r="A2" s="3" t="s">
        <v>1</v>
      </c>
      <c r="B2" s="3" t="s">
        <v>2</v>
      </c>
      <c r="C2" s="3" t="s">
        <v>3</v>
      </c>
      <c r="D2" s="19" t="s">
        <v>4</v>
      </c>
    </row>
    <row r="3" spans="1:4" x14ac:dyDescent="0.3">
      <c r="A3" s="3" t="s">
        <v>5</v>
      </c>
      <c r="B3" s="3" t="s">
        <v>6</v>
      </c>
      <c r="C3" s="3">
        <v>95.8</v>
      </c>
      <c r="D3" s="22" t="str">
        <f>IF(C3&gt;=90,"우수",IF(C3&gt;=80,"보통","분발"))</f>
        <v>우수</v>
      </c>
    </row>
    <row r="4" spans="1:4" x14ac:dyDescent="0.3">
      <c r="A4" s="3" t="s">
        <v>7</v>
      </c>
      <c r="B4" s="3" t="s">
        <v>8</v>
      </c>
      <c r="C4" s="3">
        <v>88.5</v>
      </c>
      <c r="D4" s="22" t="str">
        <f t="shared" ref="D4:D7" si="0">IF(C4&gt;=90,"우수",IF(C4&gt;=80,"보통","분발"))</f>
        <v>보통</v>
      </c>
    </row>
    <row r="5" spans="1:4" x14ac:dyDescent="0.3">
      <c r="A5" s="3" t="s">
        <v>9</v>
      </c>
      <c r="B5" s="3" t="s">
        <v>10</v>
      </c>
      <c r="C5" s="3">
        <v>72.599999999999994</v>
      </c>
      <c r="D5" s="22" t="str">
        <f t="shared" si="0"/>
        <v>분발</v>
      </c>
    </row>
    <row r="6" spans="1:4" x14ac:dyDescent="0.3">
      <c r="A6" s="3" t="s">
        <v>11</v>
      </c>
      <c r="B6" s="3" t="s">
        <v>8</v>
      </c>
      <c r="C6" s="3">
        <v>61.9</v>
      </c>
      <c r="D6" s="22" t="str">
        <f t="shared" si="0"/>
        <v>분발</v>
      </c>
    </row>
    <row r="7" spans="1:4" x14ac:dyDescent="0.3">
      <c r="A7" s="3" t="s">
        <v>12</v>
      </c>
      <c r="B7" s="3" t="s">
        <v>10</v>
      </c>
      <c r="C7" s="3">
        <v>88</v>
      </c>
      <c r="D7" s="22" t="str">
        <f t="shared" si="0"/>
        <v>보통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9"/>
  <sheetViews>
    <sheetView zoomScale="160" zoomScaleNormal="160" workbookViewId="0">
      <selection activeCell="E3" sqref="E3:E9"/>
    </sheetView>
  </sheetViews>
  <sheetFormatPr defaultRowHeight="16.5" x14ac:dyDescent="0.3"/>
  <sheetData>
    <row r="1" spans="1:5" x14ac:dyDescent="0.3">
      <c r="A1" s="4"/>
      <c r="B1" s="5"/>
      <c r="C1" s="6" t="s">
        <v>13</v>
      </c>
      <c r="D1" s="5"/>
      <c r="E1" s="5"/>
    </row>
    <row r="2" spans="1:5" x14ac:dyDescent="0.3">
      <c r="A2" s="7" t="s">
        <v>1</v>
      </c>
      <c r="B2" s="7" t="s">
        <v>14</v>
      </c>
      <c r="C2" s="7" t="s">
        <v>15</v>
      </c>
      <c r="D2" s="7" t="s">
        <v>16</v>
      </c>
      <c r="E2" s="20" t="s">
        <v>17</v>
      </c>
    </row>
    <row r="3" spans="1:5" x14ac:dyDescent="0.3">
      <c r="A3" s="7" t="s">
        <v>18</v>
      </c>
      <c r="B3" s="7" t="s">
        <v>19</v>
      </c>
      <c r="C3" s="7">
        <v>178</v>
      </c>
      <c r="D3" s="7">
        <v>60</v>
      </c>
      <c r="E3" s="7" t="str">
        <f>IF(D3-(C3-110)&gt;=6,"비만",IF(D3-(C3-110)&gt;=-5,"표준","허약"))</f>
        <v>허약</v>
      </c>
    </row>
    <row r="4" spans="1:5" x14ac:dyDescent="0.3">
      <c r="A4" s="7" t="s">
        <v>20</v>
      </c>
      <c r="B4" s="7" t="s">
        <v>21</v>
      </c>
      <c r="C4" s="7">
        <v>152</v>
      </c>
      <c r="D4" s="7">
        <v>58</v>
      </c>
      <c r="E4" s="29" t="str">
        <f t="shared" ref="E4:E9" si="0">IF(D4-(C4-110)&gt;=6,"비만",IF(D4-(C4-110)&gt;=-5,"표준","허약"))</f>
        <v>비만</v>
      </c>
    </row>
    <row r="5" spans="1:5" x14ac:dyDescent="0.3">
      <c r="A5" s="7" t="s">
        <v>22</v>
      </c>
      <c r="B5" s="7" t="s">
        <v>23</v>
      </c>
      <c r="C5" s="7">
        <v>169</v>
      </c>
      <c r="D5" s="7">
        <v>62</v>
      </c>
      <c r="E5" s="29" t="str">
        <f t="shared" si="0"/>
        <v>표준</v>
      </c>
    </row>
    <row r="6" spans="1:5" x14ac:dyDescent="0.3">
      <c r="A6" s="7" t="s">
        <v>24</v>
      </c>
      <c r="B6" s="7" t="s">
        <v>21</v>
      </c>
      <c r="C6" s="7">
        <v>162</v>
      </c>
      <c r="D6" s="7">
        <v>45</v>
      </c>
      <c r="E6" s="29" t="str">
        <f t="shared" si="0"/>
        <v>허약</v>
      </c>
    </row>
    <row r="7" spans="1:5" x14ac:dyDescent="0.3">
      <c r="A7" s="7" t="s">
        <v>25</v>
      </c>
      <c r="B7" s="7" t="s">
        <v>23</v>
      </c>
      <c r="C7" s="7">
        <v>184</v>
      </c>
      <c r="D7" s="7">
        <v>82</v>
      </c>
      <c r="E7" s="29" t="str">
        <f t="shared" si="0"/>
        <v>비만</v>
      </c>
    </row>
    <row r="8" spans="1:5" x14ac:dyDescent="0.3">
      <c r="A8" s="7" t="s">
        <v>26</v>
      </c>
      <c r="B8" s="7" t="s">
        <v>21</v>
      </c>
      <c r="C8" s="7">
        <v>175</v>
      </c>
      <c r="D8" s="7">
        <v>68</v>
      </c>
      <c r="E8" s="29" t="str">
        <f t="shared" si="0"/>
        <v>표준</v>
      </c>
    </row>
    <row r="9" spans="1:5" x14ac:dyDescent="0.3">
      <c r="A9" s="7" t="s">
        <v>27</v>
      </c>
      <c r="B9" s="7" t="s">
        <v>21</v>
      </c>
      <c r="C9" s="7">
        <v>158</v>
      </c>
      <c r="D9" s="7">
        <v>62</v>
      </c>
      <c r="E9" s="29" t="str">
        <f t="shared" si="0"/>
        <v>비만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9"/>
  <sheetViews>
    <sheetView workbookViewId="0"/>
  </sheetViews>
  <sheetFormatPr defaultRowHeight="16.5" x14ac:dyDescent="0.3"/>
  <sheetData>
    <row r="1" spans="1:5" x14ac:dyDescent="0.3">
      <c r="A1" s="4"/>
      <c r="B1" s="5"/>
      <c r="C1" s="6" t="s">
        <v>13</v>
      </c>
      <c r="D1" s="5"/>
      <c r="E1" s="5"/>
    </row>
    <row r="2" spans="1:5" x14ac:dyDescent="0.3">
      <c r="A2" s="14" t="s">
        <v>1</v>
      </c>
      <c r="B2" s="14" t="s">
        <v>14</v>
      </c>
      <c r="C2" s="14" t="s">
        <v>15</v>
      </c>
      <c r="D2" s="14" t="s">
        <v>16</v>
      </c>
      <c r="E2" s="20" t="s">
        <v>17</v>
      </c>
    </row>
    <row r="3" spans="1:5" x14ac:dyDescent="0.3">
      <c r="A3" s="14" t="s">
        <v>18</v>
      </c>
      <c r="B3" s="14" t="s">
        <v>19</v>
      </c>
      <c r="C3" s="14">
        <v>178</v>
      </c>
      <c r="D3" s="14">
        <v>60</v>
      </c>
      <c r="E3" s="23" t="str">
        <f>IF(D3-(C3-110)&gt;=6,"비만",IF(D3-(C3-110)&gt;=-5,"표준","허약"))</f>
        <v>허약</v>
      </c>
    </row>
    <row r="4" spans="1:5" x14ac:dyDescent="0.3">
      <c r="A4" s="14" t="s">
        <v>20</v>
      </c>
      <c r="B4" s="14" t="s">
        <v>21</v>
      </c>
      <c r="C4" s="14">
        <v>152</v>
      </c>
      <c r="D4" s="14">
        <v>58</v>
      </c>
      <c r="E4" s="23" t="str">
        <f t="shared" ref="E4:E9" si="0">IF(D4-(C4-110)&gt;=6,"비만",IF(D4-(C4-110)&gt;=-5,"표준","허약"))</f>
        <v>비만</v>
      </c>
    </row>
    <row r="5" spans="1:5" x14ac:dyDescent="0.3">
      <c r="A5" s="14" t="s">
        <v>22</v>
      </c>
      <c r="B5" s="14" t="s">
        <v>23</v>
      </c>
      <c r="C5" s="14">
        <v>169</v>
      </c>
      <c r="D5" s="14">
        <v>62</v>
      </c>
      <c r="E5" s="23" t="str">
        <f t="shared" si="0"/>
        <v>표준</v>
      </c>
    </row>
    <row r="6" spans="1:5" x14ac:dyDescent="0.3">
      <c r="A6" s="14" t="s">
        <v>24</v>
      </c>
      <c r="B6" s="14" t="s">
        <v>21</v>
      </c>
      <c r="C6" s="14">
        <v>162</v>
      </c>
      <c r="D6" s="14">
        <v>45</v>
      </c>
      <c r="E6" s="23" t="str">
        <f t="shared" si="0"/>
        <v>허약</v>
      </c>
    </row>
    <row r="7" spans="1:5" x14ac:dyDescent="0.3">
      <c r="A7" s="14" t="s">
        <v>25</v>
      </c>
      <c r="B7" s="14" t="s">
        <v>23</v>
      </c>
      <c r="C7" s="14">
        <v>184</v>
      </c>
      <c r="D7" s="14">
        <v>82</v>
      </c>
      <c r="E7" s="23" t="str">
        <f t="shared" si="0"/>
        <v>비만</v>
      </c>
    </row>
    <row r="8" spans="1:5" x14ac:dyDescent="0.3">
      <c r="A8" s="14" t="s">
        <v>26</v>
      </c>
      <c r="B8" s="14" t="s">
        <v>21</v>
      </c>
      <c r="C8" s="14">
        <v>175</v>
      </c>
      <c r="D8" s="14">
        <v>68</v>
      </c>
      <c r="E8" s="23" t="str">
        <f t="shared" si="0"/>
        <v>표준</v>
      </c>
    </row>
    <row r="9" spans="1:5" x14ac:dyDescent="0.3">
      <c r="A9" s="14" t="s">
        <v>27</v>
      </c>
      <c r="B9" s="14" t="s">
        <v>21</v>
      </c>
      <c r="C9" s="14">
        <v>158</v>
      </c>
      <c r="D9" s="14">
        <v>62</v>
      </c>
      <c r="E9" s="23" t="str">
        <f t="shared" si="0"/>
        <v>비만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10"/>
  <sheetViews>
    <sheetView workbookViewId="0"/>
  </sheetViews>
  <sheetFormatPr defaultRowHeight="16.5" x14ac:dyDescent="0.3"/>
  <cols>
    <col min="1" max="1" width="11" bestFit="1" customWidth="1"/>
  </cols>
  <sheetData>
    <row r="1" spans="1:4" x14ac:dyDescent="0.3">
      <c r="A1" s="1"/>
      <c r="B1" s="2" t="s">
        <v>28</v>
      </c>
      <c r="C1" s="1"/>
      <c r="D1" s="1"/>
    </row>
    <row r="2" spans="1:4" x14ac:dyDescent="0.3">
      <c r="A2" s="3" t="s">
        <v>29</v>
      </c>
      <c r="B2" s="3" t="s">
        <v>30</v>
      </c>
      <c r="C2" s="3" t="s">
        <v>31</v>
      </c>
      <c r="D2" s="19" t="s">
        <v>32</v>
      </c>
    </row>
    <row r="3" spans="1:4" x14ac:dyDescent="0.3">
      <c r="A3" s="3" t="s">
        <v>33</v>
      </c>
      <c r="B3" s="8">
        <v>45726</v>
      </c>
      <c r="C3" s="9">
        <v>15</v>
      </c>
      <c r="D3" s="3"/>
    </row>
    <row r="4" spans="1:4" x14ac:dyDescent="0.3">
      <c r="A4" s="3" t="s">
        <v>34</v>
      </c>
      <c r="B4" s="8">
        <v>45727</v>
      </c>
      <c r="C4" s="9">
        <v>8</v>
      </c>
      <c r="D4" s="3"/>
    </row>
    <row r="5" spans="1:4" x14ac:dyDescent="0.3">
      <c r="A5" s="3" t="s">
        <v>35</v>
      </c>
      <c r="B5" s="8">
        <v>45809</v>
      </c>
      <c r="C5" s="9">
        <v>30</v>
      </c>
      <c r="D5" s="3"/>
    </row>
    <row r="6" spans="1:4" x14ac:dyDescent="0.3">
      <c r="A6" s="3" t="s">
        <v>36</v>
      </c>
      <c r="B6" s="8">
        <v>45402</v>
      </c>
      <c r="C6" s="9">
        <v>20</v>
      </c>
      <c r="D6" s="3"/>
    </row>
    <row r="7" spans="1:4" x14ac:dyDescent="0.3">
      <c r="A7" s="3" t="s">
        <v>37</v>
      </c>
      <c r="B7" s="8">
        <v>45429</v>
      </c>
      <c r="C7" s="9">
        <v>12</v>
      </c>
      <c r="D7" s="3"/>
    </row>
    <row r="8" spans="1:4" x14ac:dyDescent="0.3">
      <c r="A8" s="3" t="s">
        <v>35</v>
      </c>
      <c r="B8" s="8">
        <v>45453</v>
      </c>
      <c r="C8" s="9">
        <v>31</v>
      </c>
      <c r="D8" s="3"/>
    </row>
    <row r="9" spans="1:4" x14ac:dyDescent="0.3">
      <c r="A9" s="3" t="s">
        <v>38</v>
      </c>
      <c r="B9" s="8">
        <v>45608</v>
      </c>
      <c r="C9" s="9">
        <v>24</v>
      </c>
      <c r="D9" s="3"/>
    </row>
    <row r="10" spans="1:4" x14ac:dyDescent="0.3">
      <c r="A10" s="3" t="s">
        <v>34</v>
      </c>
      <c r="B10" s="8">
        <v>45609</v>
      </c>
      <c r="C10" s="9">
        <v>16</v>
      </c>
      <c r="D10" s="3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10"/>
  <sheetViews>
    <sheetView workbookViewId="0"/>
  </sheetViews>
  <sheetFormatPr defaultRowHeight="16.5" x14ac:dyDescent="0.3"/>
  <cols>
    <col min="1" max="1" width="11" bestFit="1" customWidth="1"/>
  </cols>
  <sheetData>
    <row r="1" spans="1:4" x14ac:dyDescent="0.3">
      <c r="A1" s="1"/>
      <c r="B1" s="2" t="s">
        <v>28</v>
      </c>
      <c r="C1" s="1"/>
      <c r="D1" s="1"/>
    </row>
    <row r="2" spans="1:4" x14ac:dyDescent="0.3">
      <c r="A2" s="3" t="s">
        <v>29</v>
      </c>
      <c r="B2" s="3" t="s">
        <v>30</v>
      </c>
      <c r="C2" s="3" t="s">
        <v>31</v>
      </c>
      <c r="D2" s="19" t="s">
        <v>32</v>
      </c>
    </row>
    <row r="3" spans="1:4" x14ac:dyDescent="0.3">
      <c r="A3" s="3" t="s">
        <v>33</v>
      </c>
      <c r="B3" s="8">
        <v>45726</v>
      </c>
      <c r="C3" s="9">
        <v>15</v>
      </c>
      <c r="D3" s="22" t="str">
        <f>IF(WEEKDAY(B3,1)=1,"일요일","")</f>
        <v/>
      </c>
    </row>
    <row r="4" spans="1:4" x14ac:dyDescent="0.3">
      <c r="A4" s="3" t="s">
        <v>34</v>
      </c>
      <c r="B4" s="8">
        <v>45727</v>
      </c>
      <c r="C4" s="9">
        <v>8</v>
      </c>
      <c r="D4" s="22" t="str">
        <f t="shared" ref="D4:D10" si="0">IF(WEEKDAY(B4,1)=1,"일요일","")</f>
        <v/>
      </c>
    </row>
    <row r="5" spans="1:4" x14ac:dyDescent="0.3">
      <c r="A5" s="3" t="s">
        <v>35</v>
      </c>
      <c r="B5" s="8">
        <v>45809</v>
      </c>
      <c r="C5" s="9">
        <v>30</v>
      </c>
      <c r="D5" s="22" t="str">
        <f t="shared" si="0"/>
        <v>일요일</v>
      </c>
    </row>
    <row r="6" spans="1:4" x14ac:dyDescent="0.3">
      <c r="A6" s="3" t="s">
        <v>36</v>
      </c>
      <c r="B6" s="8">
        <v>45402</v>
      </c>
      <c r="C6" s="9">
        <v>20</v>
      </c>
      <c r="D6" s="22" t="str">
        <f t="shared" si="0"/>
        <v/>
      </c>
    </row>
    <row r="7" spans="1:4" x14ac:dyDescent="0.3">
      <c r="A7" s="3" t="s">
        <v>37</v>
      </c>
      <c r="B7" s="8">
        <v>45429</v>
      </c>
      <c r="C7" s="9">
        <v>12</v>
      </c>
      <c r="D7" s="22" t="str">
        <f t="shared" si="0"/>
        <v/>
      </c>
    </row>
    <row r="8" spans="1:4" x14ac:dyDescent="0.3">
      <c r="A8" s="3" t="s">
        <v>35</v>
      </c>
      <c r="B8" s="8">
        <v>45453</v>
      </c>
      <c r="C8" s="9">
        <v>31</v>
      </c>
      <c r="D8" s="22" t="str">
        <f t="shared" si="0"/>
        <v/>
      </c>
    </row>
    <row r="9" spans="1:4" x14ac:dyDescent="0.3">
      <c r="A9" s="3" t="s">
        <v>38</v>
      </c>
      <c r="B9" s="8">
        <v>45608</v>
      </c>
      <c r="C9" s="9">
        <v>24</v>
      </c>
      <c r="D9" s="22" t="str">
        <f t="shared" si="0"/>
        <v/>
      </c>
    </row>
    <row r="10" spans="1:4" x14ac:dyDescent="0.3">
      <c r="A10" s="3" t="s">
        <v>34</v>
      </c>
      <c r="B10" s="8">
        <v>45609</v>
      </c>
      <c r="C10" s="9">
        <v>16</v>
      </c>
      <c r="D10" s="22" t="str">
        <f t="shared" si="0"/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D8"/>
  <sheetViews>
    <sheetView zoomScale="145" zoomScaleNormal="145" workbookViewId="0">
      <selection activeCell="G11" sqref="G11"/>
    </sheetView>
  </sheetViews>
  <sheetFormatPr defaultRowHeight="16.5" x14ac:dyDescent="0.3"/>
  <cols>
    <col min="3" max="3" width="10.875" bestFit="1" customWidth="1"/>
    <col min="4" max="4" width="9.375" bestFit="1" customWidth="1"/>
  </cols>
  <sheetData>
    <row r="1" spans="1:4" x14ac:dyDescent="0.3">
      <c r="A1" s="10"/>
      <c r="B1" s="2" t="s">
        <v>39</v>
      </c>
      <c r="C1" s="1"/>
      <c r="D1" s="1"/>
    </row>
    <row r="2" spans="1:4" x14ac:dyDescent="0.3">
      <c r="A2" s="3" t="s">
        <v>40</v>
      </c>
      <c r="B2" s="3" t="s">
        <v>41</v>
      </c>
      <c r="C2" s="3" t="s">
        <v>42</v>
      </c>
      <c r="D2" s="19" t="s">
        <v>43</v>
      </c>
    </row>
    <row r="3" spans="1:4" x14ac:dyDescent="0.3">
      <c r="A3" s="11" t="s">
        <v>44</v>
      </c>
      <c r="B3" s="11">
        <v>16</v>
      </c>
      <c r="C3" s="12">
        <v>3500000</v>
      </c>
      <c r="D3" s="12">
        <f>IF(B3&gt;=10,C3*20%,IF(B3&gt;=5,C3*15%,C3*8%))</f>
        <v>700000</v>
      </c>
    </row>
    <row r="4" spans="1:4" x14ac:dyDescent="0.3">
      <c r="A4" s="11" t="s">
        <v>45</v>
      </c>
      <c r="B4" s="11">
        <v>8</v>
      </c>
      <c r="C4" s="12">
        <v>2700000</v>
      </c>
      <c r="D4" s="12">
        <f t="shared" ref="D4:D8" si="0">IF(B4&gt;=10,C4*20%,IF(B4&gt;=5,C4*15%,C4*8%))</f>
        <v>405000</v>
      </c>
    </row>
    <row r="5" spans="1:4" x14ac:dyDescent="0.3">
      <c r="A5" s="11" t="s">
        <v>44</v>
      </c>
      <c r="B5" s="11">
        <v>5</v>
      </c>
      <c r="C5" s="12">
        <v>2300000</v>
      </c>
      <c r="D5" s="12">
        <f t="shared" si="0"/>
        <v>345000</v>
      </c>
    </row>
    <row r="6" spans="1:4" x14ac:dyDescent="0.3">
      <c r="A6" s="11" t="s">
        <v>46</v>
      </c>
      <c r="B6" s="11">
        <v>13</v>
      </c>
      <c r="C6" s="12">
        <v>3000000</v>
      </c>
      <c r="D6" s="12">
        <f t="shared" si="0"/>
        <v>600000</v>
      </c>
    </row>
    <row r="7" spans="1:4" x14ac:dyDescent="0.3">
      <c r="A7" s="11" t="s">
        <v>47</v>
      </c>
      <c r="B7" s="11">
        <v>3</v>
      </c>
      <c r="C7" s="12">
        <v>1800000</v>
      </c>
      <c r="D7" s="12">
        <f t="shared" si="0"/>
        <v>144000</v>
      </c>
    </row>
    <row r="8" spans="1:4" x14ac:dyDescent="0.3">
      <c r="A8" s="11" t="s">
        <v>48</v>
      </c>
      <c r="B8" s="11">
        <v>1</v>
      </c>
      <c r="C8" s="12">
        <v>1500000</v>
      </c>
      <c r="D8" s="12">
        <f t="shared" si="0"/>
        <v>120000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D8"/>
  <sheetViews>
    <sheetView workbookViewId="0"/>
  </sheetViews>
  <sheetFormatPr defaultRowHeight="16.5" x14ac:dyDescent="0.3"/>
  <cols>
    <col min="3" max="3" width="10.875" bestFit="1" customWidth="1"/>
  </cols>
  <sheetData>
    <row r="1" spans="1:4" x14ac:dyDescent="0.3">
      <c r="A1" s="10"/>
      <c r="B1" s="2" t="s">
        <v>39</v>
      </c>
      <c r="C1" s="1"/>
      <c r="D1" s="1"/>
    </row>
    <row r="2" spans="1:4" x14ac:dyDescent="0.3">
      <c r="A2" s="3" t="s">
        <v>40</v>
      </c>
      <c r="B2" s="3" t="s">
        <v>41</v>
      </c>
      <c r="C2" s="3" t="s">
        <v>42</v>
      </c>
      <c r="D2" s="19" t="s">
        <v>43</v>
      </c>
    </row>
    <row r="3" spans="1:4" x14ac:dyDescent="0.3">
      <c r="A3" s="11" t="s">
        <v>44</v>
      </c>
      <c r="B3" s="11">
        <v>16</v>
      </c>
      <c r="C3" s="12">
        <v>3500000</v>
      </c>
      <c r="D3" s="24">
        <f t="shared" ref="D3:D8" si="0">IF(B3&gt;=10,C3*0.2,IF(B3&gt;=5,C3*0.15,C3*0.08))</f>
        <v>700000</v>
      </c>
    </row>
    <row r="4" spans="1:4" x14ac:dyDescent="0.3">
      <c r="A4" s="11" t="s">
        <v>45</v>
      </c>
      <c r="B4" s="11">
        <v>8</v>
      </c>
      <c r="C4" s="12">
        <v>2700000</v>
      </c>
      <c r="D4" s="24">
        <f t="shared" si="0"/>
        <v>405000</v>
      </c>
    </row>
    <row r="5" spans="1:4" x14ac:dyDescent="0.3">
      <c r="A5" s="11" t="s">
        <v>44</v>
      </c>
      <c r="B5" s="11">
        <v>5</v>
      </c>
      <c r="C5" s="12">
        <v>2300000</v>
      </c>
      <c r="D5" s="24">
        <f t="shared" si="0"/>
        <v>345000</v>
      </c>
    </row>
    <row r="6" spans="1:4" x14ac:dyDescent="0.3">
      <c r="A6" s="11" t="s">
        <v>46</v>
      </c>
      <c r="B6" s="11">
        <v>13</v>
      </c>
      <c r="C6" s="12">
        <v>3000000</v>
      </c>
      <c r="D6" s="24">
        <f t="shared" si="0"/>
        <v>600000</v>
      </c>
    </row>
    <row r="7" spans="1:4" x14ac:dyDescent="0.3">
      <c r="A7" s="11" t="s">
        <v>47</v>
      </c>
      <c r="B7" s="11">
        <v>3</v>
      </c>
      <c r="C7" s="12">
        <v>1800000</v>
      </c>
      <c r="D7" s="24">
        <f t="shared" si="0"/>
        <v>144000</v>
      </c>
    </row>
    <row r="8" spans="1:4" x14ac:dyDescent="0.3">
      <c r="A8" s="11" t="s">
        <v>48</v>
      </c>
      <c r="B8" s="11">
        <v>1</v>
      </c>
      <c r="C8" s="12">
        <v>1500000</v>
      </c>
      <c r="D8" s="24">
        <f t="shared" si="0"/>
        <v>120000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K19"/>
  <sheetViews>
    <sheetView zoomScale="160" zoomScaleNormal="160" workbookViewId="0">
      <selection activeCell="A12" sqref="A12:D14"/>
    </sheetView>
  </sheetViews>
  <sheetFormatPr defaultRowHeight="16.5" x14ac:dyDescent="0.3"/>
  <sheetData>
    <row r="1" spans="1:11" x14ac:dyDescent="0.3">
      <c r="A1" s="10"/>
      <c r="B1" s="1"/>
      <c r="C1" s="2" t="s">
        <v>49</v>
      </c>
      <c r="D1" s="1"/>
      <c r="E1" s="1"/>
      <c r="F1" s="1"/>
    </row>
    <row r="2" spans="1:11" x14ac:dyDescent="0.3">
      <c r="A2" s="3" t="s">
        <v>1</v>
      </c>
      <c r="B2" s="3" t="s">
        <v>50</v>
      </c>
      <c r="C2" s="3" t="s">
        <v>51</v>
      </c>
      <c r="D2" s="3" t="s">
        <v>52</v>
      </c>
      <c r="E2" s="3" t="s">
        <v>53</v>
      </c>
      <c r="F2" s="19" t="s">
        <v>54</v>
      </c>
      <c r="H2" s="43" t="s">
        <v>267</v>
      </c>
    </row>
    <row r="3" spans="1:11" x14ac:dyDescent="0.3">
      <c r="A3" s="3" t="s">
        <v>55</v>
      </c>
      <c r="B3" s="3">
        <v>75</v>
      </c>
      <c r="C3" s="3">
        <v>45</v>
      </c>
      <c r="D3" s="3">
        <v>120</v>
      </c>
      <c r="E3" s="3">
        <v>60</v>
      </c>
      <c r="F3" s="3" t="str">
        <f>IF(AND(B3&gt;=40,C3&gt;=40,E3&gt;=60),"합격","불합격")</f>
        <v>합격</v>
      </c>
      <c r="H3" t="s">
        <v>257</v>
      </c>
      <c r="I3" t="s">
        <v>268</v>
      </c>
    </row>
    <row r="4" spans="1:11" x14ac:dyDescent="0.3">
      <c r="A4" s="3" t="s">
        <v>56</v>
      </c>
      <c r="B4" s="3">
        <v>56</v>
      </c>
      <c r="C4" s="3">
        <v>58</v>
      </c>
      <c r="D4" s="3">
        <v>114</v>
      </c>
      <c r="E4" s="3">
        <v>57</v>
      </c>
      <c r="F4" s="3" t="str">
        <f t="shared" ref="F4:F7" si="0">IF(AND(B4&gt;=40,C4&gt;=40,E4&gt;=60),"합격","불합격")</f>
        <v>불합격</v>
      </c>
      <c r="H4" t="s">
        <v>259</v>
      </c>
      <c r="I4" t="s">
        <v>269</v>
      </c>
    </row>
    <row r="5" spans="1:11" x14ac:dyDescent="0.3">
      <c r="A5" s="3" t="s">
        <v>57</v>
      </c>
      <c r="B5" s="3">
        <v>38</v>
      </c>
      <c r="C5" s="3">
        <v>24</v>
      </c>
      <c r="D5" s="3">
        <v>62</v>
      </c>
      <c r="E5" s="3">
        <v>31</v>
      </c>
      <c r="F5" s="3" t="str">
        <f t="shared" si="0"/>
        <v>불합격</v>
      </c>
    </row>
    <row r="6" spans="1:11" x14ac:dyDescent="0.3">
      <c r="A6" s="3" t="s">
        <v>58</v>
      </c>
      <c r="B6" s="3">
        <v>88</v>
      </c>
      <c r="C6" s="3">
        <v>92</v>
      </c>
      <c r="D6" s="3">
        <v>180</v>
      </c>
      <c r="E6" s="3">
        <v>90</v>
      </c>
      <c r="F6" s="3" t="str">
        <f t="shared" si="0"/>
        <v>합격</v>
      </c>
      <c r="H6" s="42" t="s">
        <v>270</v>
      </c>
      <c r="K6" t="b">
        <f>AND(TRUE,TRUE,TRUE)</f>
        <v>1</v>
      </c>
    </row>
    <row r="7" spans="1:11" x14ac:dyDescent="0.3">
      <c r="A7" s="3" t="s">
        <v>59</v>
      </c>
      <c r="B7" s="3">
        <v>83</v>
      </c>
      <c r="C7" s="3">
        <v>39</v>
      </c>
      <c r="D7" s="3">
        <v>122</v>
      </c>
      <c r="E7" s="3">
        <v>61</v>
      </c>
      <c r="F7" s="3" t="str">
        <f t="shared" si="0"/>
        <v>불합격</v>
      </c>
      <c r="H7" s="42" t="s">
        <v>271</v>
      </c>
      <c r="K7" t="b">
        <f>AND(TRUE,FALSE,TRUE)</f>
        <v>0</v>
      </c>
    </row>
    <row r="8" spans="1:11" x14ac:dyDescent="0.3">
      <c r="H8" s="42" t="s">
        <v>272</v>
      </c>
      <c r="K8" t="b">
        <f>AND(FALSE,FALSE,FALSE)</f>
        <v>0</v>
      </c>
    </row>
    <row r="9" spans="1:11" x14ac:dyDescent="0.3">
      <c r="A9" s="44" t="s">
        <v>282</v>
      </c>
      <c r="B9" t="s">
        <v>283</v>
      </c>
      <c r="C9" t="s">
        <v>284</v>
      </c>
      <c r="H9" s="42" t="s">
        <v>273</v>
      </c>
      <c r="K9" t="b">
        <f>OR(TRUE,TRUE,TRUE)</f>
        <v>1</v>
      </c>
    </row>
    <row r="10" spans="1:11" x14ac:dyDescent="0.3">
      <c r="H10" s="42" t="s">
        <v>274</v>
      </c>
      <c r="K10" t="b">
        <f>OR(TRUE,FALSE,TRUE)</f>
        <v>1</v>
      </c>
    </row>
    <row r="11" spans="1:11" x14ac:dyDescent="0.3">
      <c r="H11" s="42" t="s">
        <v>275</v>
      </c>
      <c r="K11" t="b">
        <f>OR(FALSE,FALSE,FALSE)</f>
        <v>0</v>
      </c>
    </row>
    <row r="12" spans="1:11" x14ac:dyDescent="0.3">
      <c r="A12" t="s">
        <v>269</v>
      </c>
    </row>
    <row r="13" spans="1:11" x14ac:dyDescent="0.3">
      <c r="A13" t="b">
        <v>1</v>
      </c>
      <c r="B13" t="s">
        <v>279</v>
      </c>
      <c r="D13" t="s">
        <v>281</v>
      </c>
      <c r="H13" s="42" t="s">
        <v>276</v>
      </c>
      <c r="K13" t="b">
        <f>AND(TRUE,1,TRUE)</f>
        <v>1</v>
      </c>
    </row>
    <row r="14" spans="1:11" x14ac:dyDescent="0.3">
      <c r="A14" t="b">
        <v>0</v>
      </c>
      <c r="B14">
        <v>0</v>
      </c>
      <c r="H14" s="42" t="s">
        <v>277</v>
      </c>
      <c r="K14" t="b">
        <f>AND(TRUE,0,TRUE)</f>
        <v>0</v>
      </c>
    </row>
    <row r="15" spans="1:11" x14ac:dyDescent="0.3">
      <c r="H15" s="42" t="s">
        <v>278</v>
      </c>
      <c r="K15" t="b">
        <f>AND(TRUE,1234,TRUE)</f>
        <v>1</v>
      </c>
    </row>
    <row r="17" spans="8:11" x14ac:dyDescent="0.3">
      <c r="H17" s="42" t="s">
        <v>280</v>
      </c>
      <c r="K17" t="b">
        <f>AND(TRUE,"아기상어",TRUE)</f>
        <v>1</v>
      </c>
    </row>
    <row r="18" spans="8:11" x14ac:dyDescent="0.3">
      <c r="H18" s="42"/>
    </row>
    <row r="19" spans="8:11" x14ac:dyDescent="0.3">
      <c r="H19" s="42"/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F7"/>
  <sheetViews>
    <sheetView workbookViewId="0"/>
  </sheetViews>
  <sheetFormatPr defaultRowHeight="16.5" x14ac:dyDescent="0.3"/>
  <sheetData>
    <row r="1" spans="1:6" x14ac:dyDescent="0.3">
      <c r="A1" s="10"/>
      <c r="B1" s="1"/>
      <c r="C1" s="2" t="s">
        <v>49</v>
      </c>
      <c r="D1" s="1"/>
      <c r="E1" s="1"/>
      <c r="F1" s="1"/>
    </row>
    <row r="2" spans="1:6" x14ac:dyDescent="0.3">
      <c r="A2" s="3" t="s">
        <v>1</v>
      </c>
      <c r="B2" s="3" t="s">
        <v>50</v>
      </c>
      <c r="C2" s="3" t="s">
        <v>51</v>
      </c>
      <c r="D2" s="3" t="s">
        <v>52</v>
      </c>
      <c r="E2" s="3" t="s">
        <v>53</v>
      </c>
      <c r="F2" s="19" t="s">
        <v>54</v>
      </c>
    </row>
    <row r="3" spans="1:6" x14ac:dyDescent="0.3">
      <c r="A3" s="3" t="s">
        <v>55</v>
      </c>
      <c r="B3" s="3">
        <v>75</v>
      </c>
      <c r="C3" s="3">
        <v>45</v>
      </c>
      <c r="D3" s="3">
        <v>120</v>
      </c>
      <c r="E3" s="3">
        <v>60</v>
      </c>
      <c r="F3" s="22" t="str">
        <f>IF(AND(B3&gt;=40,C3&gt;=40,E3&gt;=60),"합격","불합격")</f>
        <v>합격</v>
      </c>
    </row>
    <row r="4" spans="1:6" x14ac:dyDescent="0.3">
      <c r="A4" s="3" t="s">
        <v>56</v>
      </c>
      <c r="B4" s="3">
        <v>56</v>
      </c>
      <c r="C4" s="3">
        <v>58</v>
      </c>
      <c r="D4" s="3">
        <v>114</v>
      </c>
      <c r="E4" s="3">
        <v>57</v>
      </c>
      <c r="F4" s="22" t="str">
        <f t="shared" ref="F4:F7" si="0">IF(AND(B4&gt;=40,C4&gt;=40,E4&gt;=60),"합격","불합격")</f>
        <v>불합격</v>
      </c>
    </row>
    <row r="5" spans="1:6" x14ac:dyDescent="0.3">
      <c r="A5" s="3" t="s">
        <v>57</v>
      </c>
      <c r="B5" s="3">
        <v>38</v>
      </c>
      <c r="C5" s="3">
        <v>24</v>
      </c>
      <c r="D5" s="3">
        <v>62</v>
      </c>
      <c r="E5" s="3">
        <v>31</v>
      </c>
      <c r="F5" s="22" t="str">
        <f t="shared" si="0"/>
        <v>불합격</v>
      </c>
    </row>
    <row r="6" spans="1:6" x14ac:dyDescent="0.3">
      <c r="A6" s="3" t="s">
        <v>58</v>
      </c>
      <c r="B6" s="3">
        <v>88</v>
      </c>
      <c r="C6" s="3">
        <v>92</v>
      </c>
      <c r="D6" s="3">
        <v>180</v>
      </c>
      <c r="E6" s="3">
        <v>90</v>
      </c>
      <c r="F6" s="22" t="str">
        <f t="shared" si="0"/>
        <v>합격</v>
      </c>
    </row>
    <row r="7" spans="1:6" x14ac:dyDescent="0.3">
      <c r="A7" s="3" t="s">
        <v>59</v>
      </c>
      <c r="B7" s="3">
        <v>83</v>
      </c>
      <c r="C7" s="3">
        <v>39</v>
      </c>
      <c r="D7" s="3">
        <v>122</v>
      </c>
      <c r="E7" s="3">
        <v>61</v>
      </c>
      <c r="F7" s="22" t="str">
        <f t="shared" si="0"/>
        <v>불합격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D8"/>
  <sheetViews>
    <sheetView workbookViewId="0"/>
  </sheetViews>
  <sheetFormatPr defaultRowHeight="16.5" x14ac:dyDescent="0.3"/>
  <cols>
    <col min="2" max="2" width="11" bestFit="1" customWidth="1"/>
    <col min="4" max="4" width="10" customWidth="1"/>
  </cols>
  <sheetData>
    <row r="1" spans="1:4" x14ac:dyDescent="0.3">
      <c r="A1" s="5"/>
      <c r="B1" s="5" t="s">
        <v>60</v>
      </c>
      <c r="C1" s="5"/>
      <c r="D1" s="5"/>
    </row>
    <row r="2" spans="1:4" x14ac:dyDescent="0.3">
      <c r="A2" s="7" t="s">
        <v>61</v>
      </c>
      <c r="B2" s="7" t="s">
        <v>62</v>
      </c>
      <c r="C2" s="7" t="s">
        <v>63</v>
      </c>
      <c r="D2" s="20" t="s">
        <v>64</v>
      </c>
    </row>
    <row r="3" spans="1:4" x14ac:dyDescent="0.3">
      <c r="A3" s="7" t="s">
        <v>65</v>
      </c>
      <c r="B3" s="7">
        <v>65</v>
      </c>
      <c r="C3" s="7">
        <v>75</v>
      </c>
      <c r="D3" s="7"/>
    </row>
    <row r="4" spans="1:4" x14ac:dyDescent="0.3">
      <c r="A4" s="7" t="s">
        <v>66</v>
      </c>
      <c r="B4" s="7">
        <v>77</v>
      </c>
      <c r="C4" s="7">
        <v>25</v>
      </c>
      <c r="D4" s="7"/>
    </row>
    <row r="5" spans="1:4" x14ac:dyDescent="0.3">
      <c r="A5" s="7" t="s">
        <v>67</v>
      </c>
      <c r="B5" s="7">
        <v>85</v>
      </c>
      <c r="C5" s="7">
        <v>62</v>
      </c>
      <c r="D5" s="7"/>
    </row>
    <row r="6" spans="1:4" x14ac:dyDescent="0.3">
      <c r="A6" s="7" t="s">
        <v>68</v>
      </c>
      <c r="B6" s="7">
        <v>90</v>
      </c>
      <c r="C6" s="7">
        <v>88</v>
      </c>
      <c r="D6" s="7"/>
    </row>
    <row r="7" spans="1:4" x14ac:dyDescent="0.3">
      <c r="A7" s="7" t="s">
        <v>69</v>
      </c>
      <c r="B7" s="7">
        <v>45</v>
      </c>
      <c r="C7" s="7">
        <v>55</v>
      </c>
      <c r="D7" s="7"/>
    </row>
    <row r="8" spans="1:4" x14ac:dyDescent="0.3">
      <c r="A8" s="7" t="s">
        <v>70</v>
      </c>
      <c r="B8" s="7">
        <v>50</v>
      </c>
      <c r="C8" s="7">
        <v>78</v>
      </c>
      <c r="D8" s="7"/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D8"/>
  <sheetViews>
    <sheetView workbookViewId="0"/>
  </sheetViews>
  <sheetFormatPr defaultRowHeight="16.5" x14ac:dyDescent="0.3"/>
  <cols>
    <col min="2" max="2" width="11" bestFit="1" customWidth="1"/>
    <col min="4" max="4" width="10" customWidth="1"/>
  </cols>
  <sheetData>
    <row r="1" spans="1:4" x14ac:dyDescent="0.3">
      <c r="A1" s="5"/>
      <c r="B1" s="5" t="s">
        <v>60</v>
      </c>
      <c r="C1" s="5"/>
      <c r="D1" s="5"/>
    </row>
    <row r="2" spans="1:4" x14ac:dyDescent="0.3">
      <c r="A2" s="14" t="s">
        <v>61</v>
      </c>
      <c r="B2" s="14" t="s">
        <v>62</v>
      </c>
      <c r="C2" s="14" t="s">
        <v>63</v>
      </c>
      <c r="D2" s="20" t="s">
        <v>64</v>
      </c>
    </row>
    <row r="3" spans="1:4" x14ac:dyDescent="0.3">
      <c r="A3" s="14" t="s">
        <v>65</v>
      </c>
      <c r="B3" s="14">
        <v>65</v>
      </c>
      <c r="C3" s="14">
        <v>75</v>
      </c>
      <c r="D3" s="23" t="str">
        <f t="shared" ref="D3:D8" si="0">IF(AND(AVERAGE(B3:C3)&gt;=60,C3&gt;=70),"합격","불합격")</f>
        <v>합격</v>
      </c>
    </row>
    <row r="4" spans="1:4" x14ac:dyDescent="0.3">
      <c r="A4" s="14" t="s">
        <v>66</v>
      </c>
      <c r="B4" s="14">
        <v>77</v>
      </c>
      <c r="C4" s="14">
        <v>25</v>
      </c>
      <c r="D4" s="23" t="str">
        <f t="shared" si="0"/>
        <v>불합격</v>
      </c>
    </row>
    <row r="5" spans="1:4" x14ac:dyDescent="0.3">
      <c r="A5" s="14" t="s">
        <v>67</v>
      </c>
      <c r="B5" s="14">
        <v>85</v>
      </c>
      <c r="C5" s="14">
        <v>62</v>
      </c>
      <c r="D5" s="23" t="str">
        <f t="shared" si="0"/>
        <v>불합격</v>
      </c>
    </row>
    <row r="6" spans="1:4" x14ac:dyDescent="0.3">
      <c r="A6" s="14" t="s">
        <v>68</v>
      </c>
      <c r="B6" s="14">
        <v>90</v>
      </c>
      <c r="C6" s="14">
        <v>88</v>
      </c>
      <c r="D6" s="23" t="str">
        <f t="shared" si="0"/>
        <v>합격</v>
      </c>
    </row>
    <row r="7" spans="1:4" x14ac:dyDescent="0.3">
      <c r="A7" s="14" t="s">
        <v>69</v>
      </c>
      <c r="B7" s="14">
        <v>45</v>
      </c>
      <c r="C7" s="14">
        <v>55</v>
      </c>
      <c r="D7" s="23" t="str">
        <f t="shared" si="0"/>
        <v>불합격</v>
      </c>
    </row>
    <row r="8" spans="1:4" x14ac:dyDescent="0.3">
      <c r="A8" s="14" t="s">
        <v>70</v>
      </c>
      <c r="B8" s="14">
        <v>50</v>
      </c>
      <c r="C8" s="14">
        <v>78</v>
      </c>
      <c r="D8" s="23" t="str">
        <f t="shared" si="0"/>
        <v>합격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D9"/>
  <sheetViews>
    <sheetView topLeftCell="C1" zoomScale="160" zoomScaleNormal="160" workbookViewId="0">
      <selection activeCell="D3" sqref="D3:D9"/>
    </sheetView>
  </sheetViews>
  <sheetFormatPr defaultRowHeight="16.5" x14ac:dyDescent="0.3"/>
  <sheetData>
    <row r="1" spans="1:4" x14ac:dyDescent="0.3">
      <c r="A1" s="13"/>
      <c r="B1" s="2" t="s">
        <v>71</v>
      </c>
      <c r="C1" s="1"/>
      <c r="D1" s="1"/>
    </row>
    <row r="2" spans="1:4" x14ac:dyDescent="0.3">
      <c r="A2" s="3" t="s">
        <v>1</v>
      </c>
      <c r="B2" s="3" t="s">
        <v>72</v>
      </c>
      <c r="C2" s="3" t="s">
        <v>73</v>
      </c>
      <c r="D2" s="19" t="s">
        <v>74</v>
      </c>
    </row>
    <row r="3" spans="1:4" x14ac:dyDescent="0.3">
      <c r="A3" s="3" t="s">
        <v>75</v>
      </c>
      <c r="B3" s="3">
        <v>80</v>
      </c>
      <c r="C3" s="3">
        <v>80</v>
      </c>
      <c r="D3" s="3" t="str">
        <f>IF(OR(B3&gt;=80,C3&gt;=80),"합격","불합격")</f>
        <v>합격</v>
      </c>
    </row>
    <row r="4" spans="1:4" x14ac:dyDescent="0.3">
      <c r="A4" s="3" t="s">
        <v>76</v>
      </c>
      <c r="B4" s="3">
        <v>85</v>
      </c>
      <c r="C4" s="3">
        <v>60</v>
      </c>
      <c r="D4" s="3" t="str">
        <f t="shared" ref="D4:D9" si="0">IF(OR(B4&gt;=80,C4&gt;=80),"합격","불합격")</f>
        <v>합격</v>
      </c>
    </row>
    <row r="5" spans="1:4" x14ac:dyDescent="0.3">
      <c r="A5" s="3" t="s">
        <v>77</v>
      </c>
      <c r="B5" s="3">
        <v>80</v>
      </c>
      <c r="C5" s="3">
        <v>75</v>
      </c>
      <c r="D5" s="3" t="str">
        <f t="shared" si="0"/>
        <v>합격</v>
      </c>
    </row>
    <row r="6" spans="1:4" x14ac:dyDescent="0.3">
      <c r="A6" s="3" t="s">
        <v>78</v>
      </c>
      <c r="B6" s="3">
        <v>81</v>
      </c>
      <c r="C6" s="3">
        <v>85</v>
      </c>
      <c r="D6" s="3" t="str">
        <f t="shared" si="0"/>
        <v>합격</v>
      </c>
    </row>
    <row r="7" spans="1:4" x14ac:dyDescent="0.3">
      <c r="A7" s="3" t="s">
        <v>79</v>
      </c>
      <c r="B7" s="3">
        <v>50</v>
      </c>
      <c r="C7" s="3">
        <v>60</v>
      </c>
      <c r="D7" s="3" t="str">
        <f t="shared" si="0"/>
        <v>불합격</v>
      </c>
    </row>
    <row r="8" spans="1:4" x14ac:dyDescent="0.3">
      <c r="A8" s="3" t="s">
        <v>80</v>
      </c>
      <c r="B8" s="3">
        <v>60</v>
      </c>
      <c r="C8" s="3">
        <v>80</v>
      </c>
      <c r="D8" s="3" t="str">
        <f t="shared" si="0"/>
        <v>합격</v>
      </c>
    </row>
    <row r="9" spans="1:4" x14ac:dyDescent="0.3">
      <c r="A9" s="3" t="s">
        <v>81</v>
      </c>
      <c r="B9" s="3">
        <v>75</v>
      </c>
      <c r="C9" s="3">
        <v>79</v>
      </c>
      <c r="D9" s="3" t="str">
        <f t="shared" si="0"/>
        <v>불합격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D9"/>
  <sheetViews>
    <sheetView workbookViewId="0"/>
  </sheetViews>
  <sheetFormatPr defaultRowHeight="16.5" x14ac:dyDescent="0.3"/>
  <sheetData>
    <row r="1" spans="1:4" x14ac:dyDescent="0.3">
      <c r="A1" s="13"/>
      <c r="B1" s="2" t="s">
        <v>71</v>
      </c>
      <c r="C1" s="1"/>
      <c r="D1" s="1"/>
    </row>
    <row r="2" spans="1:4" x14ac:dyDescent="0.3">
      <c r="A2" s="3" t="s">
        <v>1</v>
      </c>
      <c r="B2" s="3" t="s">
        <v>72</v>
      </c>
      <c r="C2" s="3" t="s">
        <v>73</v>
      </c>
      <c r="D2" s="19" t="s">
        <v>54</v>
      </c>
    </row>
    <row r="3" spans="1:4" x14ac:dyDescent="0.3">
      <c r="A3" s="3" t="s">
        <v>75</v>
      </c>
      <c r="B3" s="3">
        <v>80</v>
      </c>
      <c r="C3" s="3">
        <v>80</v>
      </c>
      <c r="D3" s="22" t="str">
        <f>IF(OR(B3&gt;=80,C3&gt;=80),"합격","불합격")</f>
        <v>합격</v>
      </c>
    </row>
    <row r="4" spans="1:4" x14ac:dyDescent="0.3">
      <c r="A4" s="3" t="s">
        <v>76</v>
      </c>
      <c r="B4" s="3">
        <v>85</v>
      </c>
      <c r="C4" s="3">
        <v>60</v>
      </c>
      <c r="D4" s="22" t="str">
        <f t="shared" ref="D4:D9" si="0">IF(OR(B4&gt;=80,C4&gt;=80),"합격","불합격")</f>
        <v>합격</v>
      </c>
    </row>
    <row r="5" spans="1:4" x14ac:dyDescent="0.3">
      <c r="A5" s="3" t="s">
        <v>77</v>
      </c>
      <c r="B5" s="3">
        <v>80</v>
      </c>
      <c r="C5" s="3">
        <v>75</v>
      </c>
      <c r="D5" s="22" t="str">
        <f t="shared" si="0"/>
        <v>합격</v>
      </c>
    </row>
    <row r="6" spans="1:4" x14ac:dyDescent="0.3">
      <c r="A6" s="3" t="s">
        <v>78</v>
      </c>
      <c r="B6" s="3">
        <v>81</v>
      </c>
      <c r="C6" s="3">
        <v>85</v>
      </c>
      <c r="D6" s="22" t="str">
        <f t="shared" si="0"/>
        <v>합격</v>
      </c>
    </row>
    <row r="7" spans="1:4" x14ac:dyDescent="0.3">
      <c r="A7" s="3" t="s">
        <v>79</v>
      </c>
      <c r="B7" s="3">
        <v>50</v>
      </c>
      <c r="C7" s="3">
        <v>60</v>
      </c>
      <c r="D7" s="22" t="str">
        <f t="shared" si="0"/>
        <v>불합격</v>
      </c>
    </row>
    <row r="8" spans="1:4" x14ac:dyDescent="0.3">
      <c r="A8" s="3" t="s">
        <v>80</v>
      </c>
      <c r="B8" s="3">
        <v>60</v>
      </c>
      <c r="C8" s="3">
        <v>80</v>
      </c>
      <c r="D8" s="22" t="str">
        <f t="shared" si="0"/>
        <v>합격</v>
      </c>
    </row>
    <row r="9" spans="1:4" x14ac:dyDescent="0.3">
      <c r="A9" s="3" t="s">
        <v>81</v>
      </c>
      <c r="B9" s="3">
        <v>75</v>
      </c>
      <c r="C9" s="3">
        <v>79</v>
      </c>
      <c r="D9" s="22" t="str">
        <f t="shared" si="0"/>
        <v>불합격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E8"/>
  <sheetViews>
    <sheetView workbookViewId="0"/>
  </sheetViews>
  <sheetFormatPr defaultRowHeight="16.5" x14ac:dyDescent="0.3"/>
  <cols>
    <col min="1" max="1" width="9.875" bestFit="1" customWidth="1"/>
  </cols>
  <sheetData>
    <row r="1" spans="1:5" x14ac:dyDescent="0.3">
      <c r="A1" s="4"/>
      <c r="B1" s="5"/>
      <c r="C1" s="6" t="s">
        <v>82</v>
      </c>
      <c r="D1" s="5"/>
      <c r="E1" s="5"/>
    </row>
    <row r="2" spans="1:5" x14ac:dyDescent="0.3">
      <c r="A2" s="7" t="s">
        <v>83</v>
      </c>
      <c r="B2" s="7" t="s">
        <v>84</v>
      </c>
      <c r="C2" s="41" t="s">
        <v>85</v>
      </c>
      <c r="D2" s="41"/>
      <c r="E2" s="20" t="s">
        <v>14</v>
      </c>
    </row>
    <row r="3" spans="1:5" x14ac:dyDescent="0.3">
      <c r="A3" s="15">
        <v>45909</v>
      </c>
      <c r="B3" s="7" t="s">
        <v>86</v>
      </c>
      <c r="C3" s="41" t="s">
        <v>95</v>
      </c>
      <c r="D3" s="41"/>
      <c r="E3" s="7"/>
    </row>
    <row r="4" spans="1:5" x14ac:dyDescent="0.3">
      <c r="A4" s="15">
        <v>45910</v>
      </c>
      <c r="B4" s="7" t="s">
        <v>87</v>
      </c>
      <c r="C4" s="41" t="s">
        <v>93</v>
      </c>
      <c r="D4" s="41"/>
      <c r="E4" s="7"/>
    </row>
    <row r="5" spans="1:5" x14ac:dyDescent="0.3">
      <c r="A5" s="15">
        <v>45911</v>
      </c>
      <c r="B5" s="7" t="s">
        <v>88</v>
      </c>
      <c r="C5" s="41" t="s">
        <v>97</v>
      </c>
      <c r="D5" s="41"/>
      <c r="E5" s="7"/>
    </row>
    <row r="6" spans="1:5" x14ac:dyDescent="0.3">
      <c r="A6" s="15">
        <v>45912</v>
      </c>
      <c r="B6" s="7" t="s">
        <v>89</v>
      </c>
      <c r="C6" s="41" t="s">
        <v>90</v>
      </c>
      <c r="D6" s="41"/>
      <c r="E6" s="7"/>
    </row>
    <row r="7" spans="1:5" x14ac:dyDescent="0.3">
      <c r="A7" s="15">
        <v>45913</v>
      </c>
      <c r="B7" s="7" t="s">
        <v>91</v>
      </c>
      <c r="C7" s="41" t="s">
        <v>96</v>
      </c>
      <c r="D7" s="41"/>
      <c r="E7" s="7"/>
    </row>
    <row r="8" spans="1:5" x14ac:dyDescent="0.3">
      <c r="A8" s="15">
        <v>45914</v>
      </c>
      <c r="B8" s="7" t="s">
        <v>92</v>
      </c>
      <c r="C8" s="39" t="s">
        <v>94</v>
      </c>
      <c r="D8" s="40"/>
      <c r="E8" s="7"/>
    </row>
  </sheetData>
  <mergeCells count="7">
    <mergeCell ref="C8:D8"/>
    <mergeCell ref="C2:D2"/>
    <mergeCell ref="C3:D3"/>
    <mergeCell ref="C4:D4"/>
    <mergeCell ref="C5:D5"/>
    <mergeCell ref="C6:D6"/>
    <mergeCell ref="C7:D7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E8"/>
  <sheetViews>
    <sheetView workbookViewId="0"/>
  </sheetViews>
  <sheetFormatPr defaultRowHeight="16.5" x14ac:dyDescent="0.3"/>
  <cols>
    <col min="1" max="1" width="9.875" bestFit="1" customWidth="1"/>
  </cols>
  <sheetData>
    <row r="1" spans="1:5" x14ac:dyDescent="0.3">
      <c r="A1" s="4"/>
      <c r="B1" s="5"/>
      <c r="C1" s="6" t="s">
        <v>82</v>
      </c>
      <c r="D1" s="5"/>
      <c r="E1" s="5"/>
    </row>
    <row r="2" spans="1:5" x14ac:dyDescent="0.3">
      <c r="A2" s="14" t="s">
        <v>83</v>
      </c>
      <c r="B2" s="14" t="s">
        <v>84</v>
      </c>
      <c r="C2" s="41" t="s">
        <v>85</v>
      </c>
      <c r="D2" s="41"/>
      <c r="E2" s="20" t="s">
        <v>14</v>
      </c>
    </row>
    <row r="3" spans="1:5" x14ac:dyDescent="0.3">
      <c r="A3" s="15">
        <v>45909</v>
      </c>
      <c r="B3" s="14" t="s">
        <v>86</v>
      </c>
      <c r="C3" s="41" t="s">
        <v>95</v>
      </c>
      <c r="D3" s="41"/>
      <c r="E3" s="23" t="str">
        <f t="shared" ref="E3:E8" si="0">IF(OR(MID(C3,8,1)="1",MID(C3,8,1)="3"),"남","여")</f>
        <v>여</v>
      </c>
    </row>
    <row r="4" spans="1:5" x14ac:dyDescent="0.3">
      <c r="A4" s="15">
        <v>45910</v>
      </c>
      <c r="B4" s="14" t="s">
        <v>87</v>
      </c>
      <c r="C4" s="41" t="s">
        <v>93</v>
      </c>
      <c r="D4" s="41"/>
      <c r="E4" s="23" t="str">
        <f t="shared" si="0"/>
        <v>여</v>
      </c>
    </row>
    <row r="5" spans="1:5" x14ac:dyDescent="0.3">
      <c r="A5" s="15">
        <v>45911</v>
      </c>
      <c r="B5" s="14" t="s">
        <v>88</v>
      </c>
      <c r="C5" s="41" t="s">
        <v>97</v>
      </c>
      <c r="D5" s="41"/>
      <c r="E5" s="23" t="str">
        <f t="shared" si="0"/>
        <v>남</v>
      </c>
    </row>
    <row r="6" spans="1:5" x14ac:dyDescent="0.3">
      <c r="A6" s="15">
        <v>45912</v>
      </c>
      <c r="B6" s="14" t="s">
        <v>89</v>
      </c>
      <c r="C6" s="41" t="s">
        <v>90</v>
      </c>
      <c r="D6" s="41"/>
      <c r="E6" s="23" t="str">
        <f t="shared" si="0"/>
        <v>남</v>
      </c>
    </row>
    <row r="7" spans="1:5" x14ac:dyDescent="0.3">
      <c r="A7" s="15">
        <v>45913</v>
      </c>
      <c r="B7" s="14" t="s">
        <v>91</v>
      </c>
      <c r="C7" s="41" t="s">
        <v>96</v>
      </c>
      <c r="D7" s="41"/>
      <c r="E7" s="23" t="str">
        <f t="shared" si="0"/>
        <v>여</v>
      </c>
    </row>
    <row r="8" spans="1:5" x14ac:dyDescent="0.3">
      <c r="A8" s="15">
        <v>45914</v>
      </c>
      <c r="B8" s="14" t="s">
        <v>92</v>
      </c>
      <c r="C8" s="39" t="s">
        <v>94</v>
      </c>
      <c r="D8" s="40"/>
      <c r="E8" s="23" t="str">
        <f t="shared" si="0"/>
        <v>남</v>
      </c>
    </row>
  </sheetData>
  <mergeCells count="7">
    <mergeCell ref="C8:D8"/>
    <mergeCell ref="C2:D2"/>
    <mergeCell ref="C3:D3"/>
    <mergeCell ref="C4:D4"/>
    <mergeCell ref="C5:D5"/>
    <mergeCell ref="C6:D6"/>
    <mergeCell ref="C7:D7"/>
  </mergeCells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G17"/>
  <sheetViews>
    <sheetView zoomScale="145" zoomScaleNormal="145" workbookViewId="0">
      <selection activeCell="C3" sqref="C3:C8"/>
    </sheetView>
  </sheetViews>
  <sheetFormatPr defaultRowHeight="16.5" x14ac:dyDescent="0.3"/>
  <cols>
    <col min="4" max="4" width="13" customWidth="1"/>
  </cols>
  <sheetData>
    <row r="1" spans="1:7" x14ac:dyDescent="0.3">
      <c r="A1" s="16"/>
      <c r="B1" s="16"/>
      <c r="C1" s="16"/>
    </row>
    <row r="2" spans="1:7" x14ac:dyDescent="0.3">
      <c r="A2" s="17" t="s">
        <v>98</v>
      </c>
      <c r="B2" s="17" t="s">
        <v>99</v>
      </c>
      <c r="C2" s="21" t="s">
        <v>100</v>
      </c>
      <c r="E2" t="s">
        <v>285</v>
      </c>
      <c r="F2" t="s">
        <v>288</v>
      </c>
    </row>
    <row r="3" spans="1:7" x14ac:dyDescent="0.3">
      <c r="A3" s="18">
        <v>10</v>
      </c>
      <c r="B3" s="18">
        <v>5</v>
      </c>
      <c r="C3" s="17">
        <f>IFERROR(A3/B3,"계산오류")</f>
        <v>2</v>
      </c>
      <c r="E3" s="42" t="s">
        <v>286</v>
      </c>
      <c r="F3">
        <f>0/10</f>
        <v>0</v>
      </c>
    </row>
    <row r="4" spans="1:7" x14ac:dyDescent="0.3">
      <c r="A4" s="18">
        <v>35</v>
      </c>
      <c r="B4" s="18" t="s">
        <v>101</v>
      </c>
      <c r="C4" s="17" t="str">
        <f t="shared" ref="C4:C8" si="0">IFERROR(A4/B4,"계산오류")</f>
        <v>계산오류</v>
      </c>
      <c r="E4" s="42" t="s">
        <v>287</v>
      </c>
      <c r="F4" t="e">
        <f>10/0</f>
        <v>#DIV/0!</v>
      </c>
    </row>
    <row r="5" spans="1:7" x14ac:dyDescent="0.3">
      <c r="A5" s="18">
        <v>40</v>
      </c>
      <c r="B5" s="18">
        <v>8</v>
      </c>
      <c r="C5" s="17">
        <f t="shared" si="0"/>
        <v>5</v>
      </c>
    </row>
    <row r="6" spans="1:7" x14ac:dyDescent="0.3">
      <c r="A6" s="18">
        <v>63</v>
      </c>
      <c r="B6" s="18">
        <v>3</v>
      </c>
      <c r="C6" s="17">
        <f t="shared" si="0"/>
        <v>21</v>
      </c>
      <c r="E6" t="s">
        <v>256</v>
      </c>
      <c r="F6" t="s">
        <v>289</v>
      </c>
      <c r="G6" t="s">
        <v>292</v>
      </c>
    </row>
    <row r="7" spans="1:7" x14ac:dyDescent="0.3">
      <c r="A7" s="18">
        <v>64</v>
      </c>
      <c r="B7" s="18">
        <v>4</v>
      </c>
      <c r="C7" s="17">
        <f t="shared" si="0"/>
        <v>16</v>
      </c>
      <c r="E7" t="s">
        <v>257</v>
      </c>
      <c r="F7" t="s">
        <v>290</v>
      </c>
    </row>
    <row r="8" spans="1:7" x14ac:dyDescent="0.3">
      <c r="A8" s="18">
        <v>72</v>
      </c>
      <c r="B8" s="18" t="s">
        <v>102</v>
      </c>
      <c r="C8" s="17" t="str">
        <f t="shared" si="0"/>
        <v>계산오류</v>
      </c>
      <c r="E8" t="s">
        <v>259</v>
      </c>
      <c r="F8" t="s">
        <v>291</v>
      </c>
    </row>
    <row r="11" spans="1:7" x14ac:dyDescent="0.3">
      <c r="A11" s="17" t="s">
        <v>98</v>
      </c>
      <c r="B11" s="17" t="s">
        <v>99</v>
      </c>
      <c r="C11" s="21" t="s">
        <v>293</v>
      </c>
      <c r="D11" t="s">
        <v>294</v>
      </c>
    </row>
    <row r="12" spans="1:7" x14ac:dyDescent="0.3">
      <c r="A12" s="18">
        <v>10</v>
      </c>
      <c r="B12" s="18">
        <v>5</v>
      </c>
      <c r="C12" s="17">
        <f>A12*B12</f>
        <v>50</v>
      </c>
      <c r="D12">
        <f>IFERROR(A12*B12,"숫자가아니야")</f>
        <v>50</v>
      </c>
    </row>
    <row r="13" spans="1:7" x14ac:dyDescent="0.3">
      <c r="A13" s="18">
        <v>35</v>
      </c>
      <c r="B13" s="18" t="s">
        <v>101</v>
      </c>
      <c r="C13" s="17" t="e">
        <f t="shared" ref="C13:C17" si="1">A13*B13</f>
        <v>#VALUE!</v>
      </c>
      <c r="D13" t="str">
        <f t="shared" ref="D13:D17" si="2">IFERROR(A13*B13,"숫자가아니야")</f>
        <v>숫자가아니야</v>
      </c>
    </row>
    <row r="14" spans="1:7" x14ac:dyDescent="0.3">
      <c r="A14" s="18">
        <v>40</v>
      </c>
      <c r="B14" s="18">
        <v>8</v>
      </c>
      <c r="C14" s="17">
        <f t="shared" si="1"/>
        <v>320</v>
      </c>
      <c r="D14">
        <f t="shared" si="2"/>
        <v>320</v>
      </c>
    </row>
    <row r="15" spans="1:7" x14ac:dyDescent="0.3">
      <c r="A15" s="18">
        <v>63</v>
      </c>
      <c r="B15" s="18">
        <v>3</v>
      </c>
      <c r="C15" s="17">
        <f t="shared" si="1"/>
        <v>189</v>
      </c>
      <c r="D15">
        <f t="shared" si="2"/>
        <v>189</v>
      </c>
    </row>
    <row r="16" spans="1:7" x14ac:dyDescent="0.3">
      <c r="A16" s="18">
        <v>64</v>
      </c>
      <c r="B16" s="18">
        <v>4</v>
      </c>
      <c r="C16" s="17">
        <f t="shared" si="1"/>
        <v>256</v>
      </c>
      <c r="D16">
        <f t="shared" si="2"/>
        <v>256</v>
      </c>
    </row>
    <row r="17" spans="1:4" x14ac:dyDescent="0.3">
      <c r="A17" s="18">
        <v>72</v>
      </c>
      <c r="B17" s="18" t="s">
        <v>101</v>
      </c>
      <c r="C17" s="17" t="e">
        <f t="shared" si="1"/>
        <v>#VALUE!</v>
      </c>
      <c r="D17" t="str">
        <f t="shared" si="2"/>
        <v>숫자가아니야</v>
      </c>
    </row>
  </sheetData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C8"/>
  <sheetViews>
    <sheetView workbookViewId="0"/>
  </sheetViews>
  <sheetFormatPr defaultRowHeight="16.5" x14ac:dyDescent="0.3"/>
  <sheetData>
    <row r="1" spans="1:3" x14ac:dyDescent="0.3">
      <c r="A1" s="16"/>
      <c r="B1" s="16"/>
      <c r="C1" s="16"/>
    </row>
    <row r="2" spans="1:3" x14ac:dyDescent="0.3">
      <c r="A2" s="17" t="s">
        <v>98</v>
      </c>
      <c r="B2" s="17" t="s">
        <v>99</v>
      </c>
      <c r="C2" s="21" t="s">
        <v>100</v>
      </c>
    </row>
    <row r="3" spans="1:3" x14ac:dyDescent="0.3">
      <c r="A3" s="18">
        <v>10</v>
      </c>
      <c r="B3" s="18">
        <v>5</v>
      </c>
      <c r="C3" s="25">
        <f>IFERROR(A3/B3,"계산오류")</f>
        <v>2</v>
      </c>
    </row>
    <row r="4" spans="1:3" x14ac:dyDescent="0.3">
      <c r="A4" s="18">
        <v>35</v>
      </c>
      <c r="B4" s="18" t="s">
        <v>101</v>
      </c>
      <c r="C4" s="25" t="str">
        <f t="shared" ref="C4:C8" si="0">IFERROR(A4/B4,"계산오류")</f>
        <v>계산오류</v>
      </c>
    </row>
    <row r="5" spans="1:3" x14ac:dyDescent="0.3">
      <c r="A5" s="18">
        <v>40</v>
      </c>
      <c r="B5" s="18">
        <v>8</v>
      </c>
      <c r="C5" s="25">
        <f t="shared" si="0"/>
        <v>5</v>
      </c>
    </row>
    <row r="6" spans="1:3" x14ac:dyDescent="0.3">
      <c r="A6" s="18">
        <v>63</v>
      </c>
      <c r="B6" s="18">
        <v>3</v>
      </c>
      <c r="C6" s="25">
        <f t="shared" si="0"/>
        <v>21</v>
      </c>
    </row>
    <row r="7" spans="1:3" x14ac:dyDescent="0.3">
      <c r="A7" s="18">
        <v>64</v>
      </c>
      <c r="B7" s="18">
        <v>4</v>
      </c>
      <c r="C7" s="25">
        <f t="shared" si="0"/>
        <v>16</v>
      </c>
    </row>
    <row r="8" spans="1:3" x14ac:dyDescent="0.3">
      <c r="A8" s="18">
        <v>72</v>
      </c>
      <c r="B8" s="18" t="s">
        <v>101</v>
      </c>
      <c r="C8" s="25" t="str">
        <f t="shared" si="0"/>
        <v>계산오류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9EC32-977F-411F-A7B7-6A3A5623B531}">
  <dimension ref="A1:G9"/>
  <sheetViews>
    <sheetView zoomScale="160" zoomScaleNormal="160" workbookViewId="0">
      <selection activeCell="D4" sqref="D4"/>
    </sheetView>
  </sheetViews>
  <sheetFormatPr defaultRowHeight="16.5" x14ac:dyDescent="0.3"/>
  <sheetData>
    <row r="1" spans="1:7" x14ac:dyDescent="0.3">
      <c r="A1" s="1"/>
      <c r="B1" s="2" t="s">
        <v>0</v>
      </c>
      <c r="C1" s="1"/>
      <c r="D1" s="1"/>
    </row>
    <row r="2" spans="1:7" x14ac:dyDescent="0.3">
      <c r="A2" s="3" t="s">
        <v>1</v>
      </c>
      <c r="B2" s="3" t="s">
        <v>2</v>
      </c>
      <c r="C2" s="3" t="s">
        <v>103</v>
      </c>
      <c r="D2" s="19" t="s">
        <v>4</v>
      </c>
      <c r="F2">
        <v>31</v>
      </c>
    </row>
    <row r="3" spans="1:7" x14ac:dyDescent="0.3">
      <c r="A3" s="3" t="s">
        <v>106</v>
      </c>
      <c r="B3" s="3" t="s">
        <v>6</v>
      </c>
      <c r="C3" s="3">
        <v>95.8</v>
      </c>
      <c r="D3" s="22" t="str" cm="1">
        <f t="array" ref="D3">_xlfn.IFS(C3&gt;=90,"A",C3&gt;=80,"B",C3&gt;=70,"C",1,"F")</f>
        <v>A</v>
      </c>
      <c r="F3" s="42" t="s">
        <v>295</v>
      </c>
    </row>
    <row r="4" spans="1:7" x14ac:dyDescent="0.3">
      <c r="A4" s="3" t="s">
        <v>107</v>
      </c>
      <c r="B4" s="3" t="s">
        <v>8</v>
      </c>
      <c r="C4" s="3">
        <v>88.5</v>
      </c>
      <c r="D4" s="22" t="str" cm="1">
        <f t="array" ref="D4">_xlfn.IFS(C4&gt;=90,"A",C4&gt;=80,"B",C4&gt;=70,"C",1,"F")</f>
        <v>B</v>
      </c>
      <c r="F4" t="str">
        <f>IF(F2&gt;=80,"우수",IF(F2&gt;=60,"양호",IF(F2&gt;=40,"정상","미달")))</f>
        <v>미달</v>
      </c>
    </row>
    <row r="5" spans="1:7" x14ac:dyDescent="0.3">
      <c r="A5" s="3" t="s">
        <v>108</v>
      </c>
      <c r="B5" s="3" t="s">
        <v>10</v>
      </c>
      <c r="C5" s="3">
        <v>72.599999999999994</v>
      </c>
      <c r="D5" s="22" t="str" cm="1">
        <f t="array" ref="D5">_xlfn.IFS(C5&gt;=90,"A",C5&gt;=80,"B",C5&gt;=70,"C",1,"F")</f>
        <v>C</v>
      </c>
      <c r="F5" t="s">
        <v>296</v>
      </c>
      <c r="G5" t="s">
        <v>297</v>
      </c>
    </row>
    <row r="6" spans="1:7" x14ac:dyDescent="0.3">
      <c r="A6" s="3" t="s">
        <v>109</v>
      </c>
      <c r="B6" s="3" t="s">
        <v>8</v>
      </c>
      <c r="C6" s="3">
        <v>61.9</v>
      </c>
      <c r="D6" s="22" t="str" cm="1">
        <f t="array" ref="D6">_xlfn.IFS(C6&gt;=90,"A",C6&gt;=80,"B",C6&gt;=70,"C",1,"F")</f>
        <v>F</v>
      </c>
      <c r="F6" t="s">
        <v>257</v>
      </c>
      <c r="G6" t="s">
        <v>298</v>
      </c>
    </row>
    <row r="7" spans="1:7" x14ac:dyDescent="0.3">
      <c r="A7" s="3" t="s">
        <v>110</v>
      </c>
      <c r="B7" s="3" t="s">
        <v>10</v>
      </c>
      <c r="C7" s="3">
        <v>88</v>
      </c>
      <c r="D7" s="22" t="str" cm="1">
        <f t="array" ref="D7">_xlfn.IFS(C7&gt;=90,"A",C7&gt;=80,"B",C7&gt;=70,"C",1,"F")</f>
        <v>B</v>
      </c>
      <c r="F7" t="s">
        <v>259</v>
      </c>
      <c r="G7" t="s">
        <v>299</v>
      </c>
    </row>
    <row r="8" spans="1:7" x14ac:dyDescent="0.3">
      <c r="A8" s="26" t="s">
        <v>104</v>
      </c>
      <c r="B8" s="26" t="s">
        <v>8</v>
      </c>
      <c r="C8" s="26">
        <v>69.5</v>
      </c>
      <c r="D8" s="22" t="str" cm="1">
        <f t="array" ref="D8">_xlfn.IFS(C8&gt;=90,"A",C8&gt;=80,"B",C8&gt;=70,"C",1,"F")</f>
        <v>F</v>
      </c>
      <c r="F8" s="42" t="s">
        <v>300</v>
      </c>
    </row>
    <row r="9" spans="1:7" x14ac:dyDescent="0.3">
      <c r="A9" s="26" t="s">
        <v>105</v>
      </c>
      <c r="B9" s="26" t="s">
        <v>10</v>
      </c>
      <c r="C9" s="26">
        <v>75.599999999999994</v>
      </c>
      <c r="D9" s="22" t="str" cm="1">
        <f t="array" ref="D9">_xlfn.IFS(C9&gt;=90,"A",C9&gt;=80,"B",C9&gt;=70,"C",1,"F")</f>
        <v>C</v>
      </c>
      <c r="F9" t="str" cm="1">
        <f t="array" ref="F9">_xlfn.IFS(F2&gt;=80,"우수",F2&gt;=60,"양호",F2&gt;=40,"정상",F2&lt;40,"미달")</f>
        <v>미달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B2677-6A9E-4E74-8653-0AB23D7BEC29}">
  <dimension ref="A1:D9"/>
  <sheetViews>
    <sheetView workbookViewId="0">
      <selection activeCell="D3" sqref="D3"/>
    </sheetView>
  </sheetViews>
  <sheetFormatPr defaultRowHeight="16.5" x14ac:dyDescent="0.3"/>
  <sheetData>
    <row r="1" spans="1:4" x14ac:dyDescent="0.3">
      <c r="A1" s="1"/>
      <c r="B1" s="2" t="s">
        <v>0</v>
      </c>
      <c r="C1" s="1"/>
      <c r="D1" s="1"/>
    </row>
    <row r="2" spans="1:4" x14ac:dyDescent="0.3">
      <c r="A2" s="3" t="s">
        <v>1</v>
      </c>
      <c r="B2" s="3" t="s">
        <v>2</v>
      </c>
      <c r="C2" s="3" t="s">
        <v>103</v>
      </c>
      <c r="D2" s="19" t="s">
        <v>4</v>
      </c>
    </row>
    <row r="3" spans="1:4" x14ac:dyDescent="0.3">
      <c r="A3" s="3" t="s">
        <v>106</v>
      </c>
      <c r="B3" s="3" t="s">
        <v>6</v>
      </c>
      <c r="C3" s="3">
        <v>95.8</v>
      </c>
      <c r="D3" s="22" t="str" cm="1">
        <f t="array" ref="D3">_xlfn.IFS(C3&gt;=90,"A",C3&gt;=80,"B",C3&gt;=70,"C",TRUE,"F")</f>
        <v>A</v>
      </c>
    </row>
    <row r="4" spans="1:4" x14ac:dyDescent="0.3">
      <c r="A4" s="3" t="s">
        <v>107</v>
      </c>
      <c r="B4" s="3" t="s">
        <v>8</v>
      </c>
      <c r="C4" s="3">
        <v>88.5</v>
      </c>
      <c r="D4" s="22" t="str" cm="1">
        <f t="array" ref="D4">_xlfn.IFS(C4&gt;=90,"A",C4&gt;=80,"B",C4&gt;=70,"C",TRUE,"F")</f>
        <v>B</v>
      </c>
    </row>
    <row r="5" spans="1:4" x14ac:dyDescent="0.3">
      <c r="A5" s="3" t="s">
        <v>108</v>
      </c>
      <c r="B5" s="3" t="s">
        <v>10</v>
      </c>
      <c r="C5" s="3">
        <v>72.599999999999994</v>
      </c>
      <c r="D5" s="22" t="str" cm="1">
        <f t="array" ref="D5">_xlfn.IFS(C5&gt;=90,"A",C5&gt;=80,"B",C5&gt;=70,"C",TRUE,"F")</f>
        <v>C</v>
      </c>
    </row>
    <row r="6" spans="1:4" x14ac:dyDescent="0.3">
      <c r="A6" s="3" t="s">
        <v>109</v>
      </c>
      <c r="B6" s="3" t="s">
        <v>8</v>
      </c>
      <c r="C6" s="3">
        <v>61.9</v>
      </c>
      <c r="D6" s="22" t="str" cm="1">
        <f t="array" ref="D6">_xlfn.IFS(C6&gt;=90,"A",C6&gt;=80,"B",C6&gt;=70,"C",TRUE,"F")</f>
        <v>F</v>
      </c>
    </row>
    <row r="7" spans="1:4" x14ac:dyDescent="0.3">
      <c r="A7" s="3" t="s">
        <v>110</v>
      </c>
      <c r="B7" s="3" t="s">
        <v>10</v>
      </c>
      <c r="C7" s="3">
        <v>88</v>
      </c>
      <c r="D7" s="22" t="str" cm="1">
        <f t="array" ref="D7">_xlfn.IFS(C7&gt;=90,"A",C7&gt;=80,"B",C7&gt;=70,"C",TRUE,"F")</f>
        <v>B</v>
      </c>
    </row>
    <row r="8" spans="1:4" x14ac:dyDescent="0.3">
      <c r="A8" s="26" t="s">
        <v>104</v>
      </c>
      <c r="B8" s="26" t="s">
        <v>8</v>
      </c>
      <c r="C8" s="26">
        <v>69.5</v>
      </c>
      <c r="D8" s="22" t="str" cm="1">
        <f t="array" ref="D8">_xlfn.IFS(C8&gt;=90,"A",C8&gt;=80,"B",C8&gt;=70,"C",TRUE,"F")</f>
        <v>F</v>
      </c>
    </row>
    <row r="9" spans="1:4" x14ac:dyDescent="0.3">
      <c r="A9" s="26" t="s">
        <v>105</v>
      </c>
      <c r="B9" s="26" t="s">
        <v>10</v>
      </c>
      <c r="C9" s="26">
        <v>75.599999999999994</v>
      </c>
      <c r="D9" s="22" t="str" cm="1">
        <f t="array" ref="D9">_xlfn.IFS(C9&gt;=90,"A",C9&gt;=80,"B",C9&gt;=70,"C",TRUE,"F")</f>
        <v>C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5075B-4297-4C94-A07E-27F3049EA4D0}">
  <dimension ref="A1:H12"/>
  <sheetViews>
    <sheetView tabSelected="1" zoomScale="130" zoomScaleNormal="130" workbookViewId="0">
      <selection activeCell="H7" sqref="H7"/>
    </sheetView>
  </sheetViews>
  <sheetFormatPr defaultRowHeight="16.5" x14ac:dyDescent="0.3"/>
  <sheetData>
    <row r="1" spans="1:8" x14ac:dyDescent="0.3">
      <c r="A1" s="27" t="s">
        <v>111</v>
      </c>
      <c r="B1" s="28"/>
      <c r="C1" s="28"/>
      <c r="D1" s="28"/>
      <c r="E1" s="28"/>
    </row>
    <row r="2" spans="1:8" x14ac:dyDescent="0.3">
      <c r="A2" s="23" t="s">
        <v>112</v>
      </c>
      <c r="B2" s="23" t="s">
        <v>1</v>
      </c>
      <c r="C2" s="23" t="s">
        <v>113</v>
      </c>
      <c r="D2" s="23" t="s">
        <v>114</v>
      </c>
      <c r="E2" s="20" t="s">
        <v>115</v>
      </c>
    </row>
    <row r="3" spans="1:8" x14ac:dyDescent="0.3">
      <c r="A3" s="23" t="s">
        <v>116</v>
      </c>
      <c r="B3" s="23" t="s">
        <v>117</v>
      </c>
      <c r="C3" s="23">
        <v>1974</v>
      </c>
      <c r="D3" s="23">
        <v>500</v>
      </c>
      <c r="E3" s="23"/>
    </row>
    <row r="4" spans="1:8" x14ac:dyDescent="0.3">
      <c r="A4" s="23" t="s">
        <v>118</v>
      </c>
      <c r="B4" s="23" t="s">
        <v>119</v>
      </c>
      <c r="C4" s="23">
        <v>2000</v>
      </c>
      <c r="D4" s="23">
        <v>500</v>
      </c>
      <c r="E4" s="23"/>
      <c r="G4" t="s">
        <v>301</v>
      </c>
    </row>
    <row r="5" spans="1:8" x14ac:dyDescent="0.3">
      <c r="A5" s="23" t="s">
        <v>120</v>
      </c>
      <c r="B5" s="23" t="s">
        <v>121</v>
      </c>
      <c r="C5" s="23">
        <v>1983</v>
      </c>
      <c r="D5" s="23">
        <v>500</v>
      </c>
      <c r="E5" s="23"/>
      <c r="G5" t="s">
        <v>257</v>
      </c>
      <c r="H5" t="s">
        <v>302</v>
      </c>
    </row>
    <row r="6" spans="1:8" x14ac:dyDescent="0.3">
      <c r="A6" s="23" t="s">
        <v>122</v>
      </c>
      <c r="B6" s="23" t="s">
        <v>123</v>
      </c>
      <c r="C6" s="23">
        <v>1975</v>
      </c>
      <c r="D6" s="23">
        <v>700</v>
      </c>
      <c r="E6" s="23"/>
      <c r="G6" t="s">
        <v>303</v>
      </c>
      <c r="H6" t="s">
        <v>304</v>
      </c>
    </row>
    <row r="7" spans="1:8" x14ac:dyDescent="0.3">
      <c r="A7" s="23" t="s">
        <v>132</v>
      </c>
      <c r="B7" s="23" t="s">
        <v>124</v>
      </c>
      <c r="C7" s="23">
        <v>1974</v>
      </c>
      <c r="D7" s="23">
        <v>500</v>
      </c>
      <c r="E7" s="23"/>
    </row>
    <row r="8" spans="1:8" x14ac:dyDescent="0.3">
      <c r="A8" s="23" t="s">
        <v>133</v>
      </c>
      <c r="B8" s="23" t="s">
        <v>125</v>
      </c>
      <c r="C8" s="23">
        <v>1984</v>
      </c>
      <c r="D8" s="23">
        <v>400</v>
      </c>
      <c r="E8" s="23"/>
    </row>
    <row r="9" spans="1:8" x14ac:dyDescent="0.3">
      <c r="A9" s="23" t="s">
        <v>126</v>
      </c>
      <c r="B9" s="23" t="s">
        <v>127</v>
      </c>
      <c r="C9" s="23">
        <v>1994</v>
      </c>
      <c r="D9" s="23">
        <v>700</v>
      </c>
      <c r="E9" s="23"/>
    </row>
    <row r="10" spans="1:8" x14ac:dyDescent="0.3">
      <c r="A10" s="23" t="s">
        <v>134</v>
      </c>
      <c r="B10" s="23" t="s">
        <v>128</v>
      </c>
      <c r="C10" s="23">
        <v>1987</v>
      </c>
      <c r="D10" s="23">
        <v>500</v>
      </c>
      <c r="E10" s="23"/>
    </row>
    <row r="11" spans="1:8" x14ac:dyDescent="0.3">
      <c r="A11" s="23" t="s">
        <v>129</v>
      </c>
      <c r="B11" s="23" t="s">
        <v>130</v>
      </c>
      <c r="C11" s="23">
        <v>1984</v>
      </c>
      <c r="D11" s="23">
        <v>500</v>
      </c>
      <c r="E11" s="23"/>
    </row>
    <row r="12" spans="1:8" x14ac:dyDescent="0.3">
      <c r="A12" s="23" t="s">
        <v>135</v>
      </c>
      <c r="B12" s="23" t="s">
        <v>131</v>
      </c>
      <c r="C12" s="23">
        <v>1987</v>
      </c>
      <c r="D12" s="23">
        <v>300</v>
      </c>
      <c r="E12" s="23"/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9C469-928F-4F86-9E89-FC3C3CDF0220}">
  <dimension ref="A1:E12"/>
  <sheetViews>
    <sheetView workbookViewId="0"/>
  </sheetViews>
  <sheetFormatPr defaultRowHeight="16.5" x14ac:dyDescent="0.3"/>
  <sheetData>
    <row r="1" spans="1:5" x14ac:dyDescent="0.3">
      <c r="A1" s="27" t="s">
        <v>111</v>
      </c>
      <c r="B1" s="28"/>
      <c r="C1" s="28"/>
      <c r="D1" s="28"/>
      <c r="E1" s="28"/>
    </row>
    <row r="2" spans="1:5" x14ac:dyDescent="0.3">
      <c r="A2" s="23" t="s">
        <v>112</v>
      </c>
      <c r="B2" s="23" t="s">
        <v>1</v>
      </c>
      <c r="C2" s="23" t="s">
        <v>113</v>
      </c>
      <c r="D2" s="23" t="s">
        <v>114</v>
      </c>
      <c r="E2" s="20" t="s">
        <v>115</v>
      </c>
    </row>
    <row r="3" spans="1:5" x14ac:dyDescent="0.3">
      <c r="A3" s="23" t="s">
        <v>116</v>
      </c>
      <c r="B3" s="23" t="s">
        <v>117</v>
      </c>
      <c r="C3" s="23">
        <v>1974</v>
      </c>
      <c r="D3" s="23">
        <v>500</v>
      </c>
      <c r="E3" s="23" t="str" cm="1">
        <f t="array" ref="E3">_xlfn.SWITCH(LEFT(A3,1),"B","해피제과","G","참존제과","S","파랑제과")</f>
        <v>해피제과</v>
      </c>
    </row>
    <row r="4" spans="1:5" x14ac:dyDescent="0.3">
      <c r="A4" s="23" t="s">
        <v>118</v>
      </c>
      <c r="B4" s="23" t="s">
        <v>119</v>
      </c>
      <c r="C4" s="23">
        <v>2000</v>
      </c>
      <c r="D4" s="23">
        <v>500</v>
      </c>
      <c r="E4" s="23" t="str" cm="1">
        <f t="array" ref="E4">_xlfn.SWITCH(LEFT(A4,1),"B","해피제과","G","참존제과","S","파랑제과")</f>
        <v>참존제과</v>
      </c>
    </row>
    <row r="5" spans="1:5" x14ac:dyDescent="0.3">
      <c r="A5" s="23" t="s">
        <v>120</v>
      </c>
      <c r="B5" s="23" t="s">
        <v>121</v>
      </c>
      <c r="C5" s="23">
        <v>1983</v>
      </c>
      <c r="D5" s="23">
        <v>500</v>
      </c>
      <c r="E5" s="23" t="str" cm="1">
        <f t="array" ref="E5">_xlfn.SWITCH(LEFT(A5,1),"B","해피제과","G","참존제과","S","파랑제과")</f>
        <v>파랑제과</v>
      </c>
    </row>
    <row r="6" spans="1:5" x14ac:dyDescent="0.3">
      <c r="A6" s="23" t="s">
        <v>122</v>
      </c>
      <c r="B6" s="23" t="s">
        <v>123</v>
      </c>
      <c r="C6" s="23">
        <v>1975</v>
      </c>
      <c r="D6" s="23">
        <v>700</v>
      </c>
      <c r="E6" s="23" t="str" cm="1">
        <f t="array" ref="E6">_xlfn.SWITCH(LEFT(A6,1),"B","해피제과","G","참존제과","S","파랑제과")</f>
        <v>파랑제과</v>
      </c>
    </row>
    <row r="7" spans="1:5" x14ac:dyDescent="0.3">
      <c r="A7" s="23" t="s">
        <v>132</v>
      </c>
      <c r="B7" s="23" t="s">
        <v>124</v>
      </c>
      <c r="C7" s="23">
        <v>1974</v>
      </c>
      <c r="D7" s="23">
        <v>500</v>
      </c>
      <c r="E7" s="23" t="str" cm="1">
        <f t="array" ref="E7">_xlfn.SWITCH(LEFT(A7,1),"B","해피제과","G","참존제과","S","파랑제과")</f>
        <v>참존제과</v>
      </c>
    </row>
    <row r="8" spans="1:5" x14ac:dyDescent="0.3">
      <c r="A8" s="23" t="s">
        <v>133</v>
      </c>
      <c r="B8" s="23" t="s">
        <v>125</v>
      </c>
      <c r="C8" s="23">
        <v>1984</v>
      </c>
      <c r="D8" s="23">
        <v>400</v>
      </c>
      <c r="E8" s="23" t="str" cm="1">
        <f t="array" ref="E8">_xlfn.SWITCH(LEFT(A8,1),"B","해피제과","G","참존제과","S","파랑제과")</f>
        <v>해피제과</v>
      </c>
    </row>
    <row r="9" spans="1:5" x14ac:dyDescent="0.3">
      <c r="A9" s="23" t="s">
        <v>126</v>
      </c>
      <c r="B9" s="23" t="s">
        <v>127</v>
      </c>
      <c r="C9" s="23">
        <v>1994</v>
      </c>
      <c r="D9" s="23">
        <v>700</v>
      </c>
      <c r="E9" s="23" t="str" cm="1">
        <f t="array" ref="E9">_xlfn.SWITCH(LEFT(A9,1),"B","해피제과","G","참존제과","S","파랑제과")</f>
        <v>해피제과</v>
      </c>
    </row>
    <row r="10" spans="1:5" x14ac:dyDescent="0.3">
      <c r="A10" s="23" t="s">
        <v>134</v>
      </c>
      <c r="B10" s="23" t="s">
        <v>128</v>
      </c>
      <c r="C10" s="23">
        <v>1987</v>
      </c>
      <c r="D10" s="23">
        <v>500</v>
      </c>
      <c r="E10" s="23" t="str" cm="1">
        <f t="array" ref="E10">_xlfn.SWITCH(LEFT(A10,1),"B","해피제과","G","참존제과","S","파랑제과")</f>
        <v>참존제과</v>
      </c>
    </row>
    <row r="11" spans="1:5" x14ac:dyDescent="0.3">
      <c r="A11" s="23" t="s">
        <v>129</v>
      </c>
      <c r="B11" s="23" t="s">
        <v>130</v>
      </c>
      <c r="C11" s="23">
        <v>1984</v>
      </c>
      <c r="D11" s="23">
        <v>500</v>
      </c>
      <c r="E11" s="23" t="str" cm="1">
        <f t="array" ref="E11">_xlfn.SWITCH(LEFT(A11,1),"B","해피제과","G","참존제과","S","파랑제과")</f>
        <v>파랑제과</v>
      </c>
    </row>
    <row r="12" spans="1:5" x14ac:dyDescent="0.3">
      <c r="A12" s="23" t="s">
        <v>135</v>
      </c>
      <c r="B12" s="23" t="s">
        <v>131</v>
      </c>
      <c r="C12" s="23">
        <v>1987</v>
      </c>
      <c r="D12" s="23">
        <v>300</v>
      </c>
      <c r="E12" s="23" t="str" cm="1">
        <f t="array" ref="E12">_xlfn.SWITCH(LEFT(A12,1),"B","해피제과","G","참존제과","S","파랑제과")</f>
        <v>해피제과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22</vt:i4>
      </vt:variant>
      <vt:variant>
        <vt:lpstr>이름 지정된 범위</vt:lpstr>
      </vt:variant>
      <vt:variant>
        <vt:i4>2</vt:i4>
      </vt:variant>
    </vt:vector>
  </HeadingPairs>
  <TitlesOfParts>
    <vt:vector size="24" baseType="lpstr">
      <vt:lpstr>IF1(예제)</vt:lpstr>
      <vt:lpstr>IF1(결과)</vt:lpstr>
      <vt:lpstr>IF2(예제)</vt:lpstr>
      <vt:lpstr>IF2(결과)</vt:lpstr>
      <vt:lpstr>IF3(예제)</vt:lpstr>
      <vt:lpstr>IF3(결과)</vt:lpstr>
      <vt:lpstr>IF4(예제)</vt:lpstr>
      <vt:lpstr>IF4(결과)</vt:lpstr>
      <vt:lpstr>AND1(예제)</vt:lpstr>
      <vt:lpstr>AND1(결과)</vt:lpstr>
      <vt:lpstr>AND2(예제)</vt:lpstr>
      <vt:lpstr>AND2(결과)</vt:lpstr>
      <vt:lpstr>OR1(예제)</vt:lpstr>
      <vt:lpstr>OR1(결과)</vt:lpstr>
      <vt:lpstr>OR2(예제)</vt:lpstr>
      <vt:lpstr>OR2(결과)</vt:lpstr>
      <vt:lpstr>IFERROR(예제)</vt:lpstr>
      <vt:lpstr>IFERROR(결과)</vt:lpstr>
      <vt:lpstr>IFS(예제)</vt:lpstr>
      <vt:lpstr>IFS(결과)</vt:lpstr>
      <vt:lpstr>SWITCH(예제)</vt:lpstr>
      <vt:lpstr>SWITCH(결과)</vt:lpstr>
      <vt:lpstr>변수1</vt:lpstr>
      <vt:lpstr>변수2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2020-04-05T13:33:54Z</dcterms:created>
  <dcterms:modified xsi:type="dcterms:W3CDTF">2026-10-30T08:24:30Z</dcterms:modified>
</cp:coreProperties>
</file>