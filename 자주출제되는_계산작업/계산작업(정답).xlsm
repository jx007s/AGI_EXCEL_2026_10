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5년)\2급\기본서\2025컴활2급\계산작업문제\"/>
    </mc:Choice>
  </mc:AlternateContent>
  <xr:revisionPtr revIDLastSave="0" documentId="13_ncr:1_{63B7180E-6248-4F67-A126-FF8602638A54}" xr6:coauthVersionLast="47" xr6:coauthVersionMax="47" xr10:uidLastSave="{00000000-0000-0000-0000-000000000000}"/>
  <bookViews>
    <workbookView xWindow="13470" yWindow="765" windowWidth="13245" windowHeight="14655" tabRatio="805" xr2:uid="{00000000-000D-0000-FFFF-FFFF00000000}"/>
  </bookViews>
  <sheets>
    <sheet name="계산작업1" sheetId="1" r:id="rId1"/>
    <sheet name="계산작업2" sheetId="2" r:id="rId2"/>
    <sheet name="계산작업3" sheetId="3" r:id="rId3"/>
    <sheet name="계산작업4" sheetId="4" r:id="rId4"/>
    <sheet name="계산작업5" sheetId="5" r:id="rId5"/>
    <sheet name="계산작업6" sheetId="6" r:id="rId6"/>
    <sheet name="계산작업7" sheetId="7" r:id="rId7"/>
    <sheet name="계산작업8" sheetId="10" r:id="rId8"/>
    <sheet name="계산작업9" sheetId="11" r:id="rId9"/>
    <sheet name="계산작업10" sheetId="1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11" l="1"/>
  <c r="J18" i="11"/>
  <c r="J19" i="11"/>
  <c r="J20" i="11"/>
  <c r="J21" i="11"/>
  <c r="J22" i="11"/>
  <c r="J16" i="11"/>
  <c r="K16" i="7" a="1"/>
  <c r="K16" i="7"/>
  <c r="K17" i="7" a="1"/>
  <c r="K17" i="7"/>
  <c r="K18" i="7" a="1"/>
  <c r="K18" i="7"/>
  <c r="K19" i="7" a="1"/>
  <c r="K19" i="7"/>
  <c r="K20" i="7" a="1"/>
  <c r="K20" i="7"/>
  <c r="K21" i="7" a="1"/>
  <c r="K21" i="7"/>
  <c r="K22" i="7" a="1"/>
  <c r="K22" i="7"/>
  <c r="K15" i="7" a="1"/>
  <c r="K15" i="7" s="1"/>
  <c r="E23" i="6"/>
  <c r="L4" i="6"/>
  <c r="L5" i="6"/>
  <c r="L6" i="6"/>
  <c r="L7" i="6"/>
  <c r="L8" i="6"/>
  <c r="L9" i="6"/>
  <c r="L3" i="6"/>
  <c r="L16" i="6" l="1" a="1"/>
  <c r="L16" i="6" s="1"/>
  <c r="L17" i="6" a="1"/>
  <c r="L17" i="6" s="1"/>
  <c r="L18" i="6" a="1"/>
  <c r="L18" i="6" s="1"/>
  <c r="L19" i="6" a="1"/>
  <c r="L19" i="6" s="1"/>
  <c r="L20" i="6" a="1"/>
  <c r="L20" i="6" s="1"/>
  <c r="L21" i="6" a="1"/>
  <c r="L21" i="6" s="1"/>
  <c r="L22" i="6" a="1"/>
  <c r="L22" i="6" s="1"/>
  <c r="L23" i="6" a="1"/>
  <c r="L23" i="6" s="1"/>
  <c r="L15" i="6" a="1"/>
  <c r="L15" i="6" s="1"/>
  <c r="J10" i="3" l="1"/>
  <c r="E35" i="13"/>
  <c r="E34" i="13"/>
  <c r="E33" i="13"/>
  <c r="E32" i="13"/>
  <c r="E31" i="13"/>
  <c r="E30" i="13"/>
  <c r="E29" i="13"/>
  <c r="E28" i="13"/>
  <c r="E27" i="13"/>
  <c r="J23" i="13"/>
  <c r="D23" i="13"/>
  <c r="J22" i="13"/>
  <c r="D22" i="13"/>
  <c r="J21" i="13"/>
  <c r="D21" i="13"/>
  <c r="J20" i="13"/>
  <c r="D20" i="13"/>
  <c r="J19" i="13"/>
  <c r="D19" i="13"/>
  <c r="J18" i="13"/>
  <c r="D18" i="13"/>
  <c r="J17" i="13"/>
  <c r="D17" i="13"/>
  <c r="E12" i="13"/>
  <c r="L11" i="13"/>
  <c r="E11" i="13"/>
  <c r="L10" i="13"/>
  <c r="L12" i="13" s="1"/>
  <c r="E10" i="13"/>
  <c r="L9" i="13"/>
  <c r="E9" i="13"/>
  <c r="L8" i="13"/>
  <c r="E8" i="13"/>
  <c r="L7" i="13"/>
  <c r="E7" i="13"/>
  <c r="L6" i="13"/>
  <c r="E6" i="13"/>
  <c r="L5" i="13"/>
  <c r="E5" i="13"/>
  <c r="L4" i="13"/>
  <c r="E4" i="13"/>
  <c r="L3" i="13"/>
  <c r="E3" i="13"/>
  <c r="D15" i="11" l="1"/>
  <c r="D23" i="10"/>
  <c r="D22" i="10"/>
  <c r="D21" i="10"/>
  <c r="D20" i="10"/>
  <c r="D19" i="10"/>
  <c r="D18" i="10"/>
  <c r="D17" i="10"/>
  <c r="D16" i="10"/>
  <c r="D15" i="10"/>
  <c r="D14" i="10"/>
  <c r="D27" i="10" l="1"/>
  <c r="D28" i="10"/>
  <c r="D29" i="10"/>
  <c r="D30" i="10"/>
  <c r="D31" i="10"/>
  <c r="D32" i="10"/>
  <c r="D33" i="10"/>
  <c r="D34" i="10"/>
  <c r="D35" i="10"/>
  <c r="D36" i="10"/>
  <c r="K14" i="10"/>
  <c r="K15" i="10"/>
  <c r="K16" i="10"/>
  <c r="K17" i="10"/>
  <c r="K18" i="10"/>
  <c r="K19" i="10"/>
  <c r="K20" i="10"/>
  <c r="K21" i="10"/>
  <c r="F4" i="10"/>
  <c r="F5" i="10"/>
  <c r="F6" i="10"/>
  <c r="F7" i="10"/>
  <c r="F8" i="10"/>
  <c r="F9" i="10"/>
  <c r="F10" i="10"/>
  <c r="F3" i="10"/>
  <c r="D11" i="11" l="1"/>
  <c r="G34" i="7" l="1"/>
  <c r="F37" i="5" l="1"/>
  <c r="F36" i="5"/>
  <c r="I8" i="5"/>
  <c r="I9" i="5"/>
  <c r="I10" i="5"/>
  <c r="E37" i="11" l="1"/>
  <c r="E36" i="11"/>
  <c r="E35" i="11"/>
  <c r="E34" i="11"/>
  <c r="E33" i="11"/>
  <c r="E32" i="11"/>
  <c r="E31" i="11"/>
  <c r="E30" i="11"/>
  <c r="E29" i="11"/>
  <c r="E28" i="11"/>
  <c r="J11" i="11"/>
  <c r="J10" i="11"/>
  <c r="J9" i="11"/>
  <c r="J8" i="11"/>
  <c r="J7" i="11"/>
  <c r="J6" i="11"/>
  <c r="J5" i="11"/>
  <c r="J4" i="11"/>
  <c r="J3" i="11"/>
  <c r="G36" i="7" l="1"/>
  <c r="G35" i="7"/>
  <c r="F24" i="7"/>
  <c r="F23" i="7"/>
  <c r="F22" i="7"/>
  <c r="F21" i="7"/>
  <c r="F20" i="7"/>
  <c r="F19" i="7"/>
  <c r="F18" i="7"/>
  <c r="F17" i="7"/>
  <c r="F16" i="7"/>
  <c r="F15" i="7"/>
  <c r="I11" i="7"/>
  <c r="I10" i="7"/>
  <c r="D10" i="7"/>
  <c r="I9" i="7"/>
  <c r="D9" i="7"/>
  <c r="I8" i="7"/>
  <c r="D8" i="7"/>
  <c r="I7" i="7"/>
  <c r="D7" i="7"/>
  <c r="I6" i="7"/>
  <c r="D6" i="7"/>
  <c r="I5" i="7"/>
  <c r="D5" i="7"/>
  <c r="I4" i="7"/>
  <c r="D4" i="7"/>
  <c r="I3" i="7"/>
  <c r="J6" i="7" s="1"/>
  <c r="D3" i="7"/>
  <c r="F34" i="6"/>
  <c r="F33" i="6"/>
  <c r="E12" i="6"/>
  <c r="F35" i="5"/>
  <c r="F34" i="5"/>
  <c r="F33" i="5"/>
  <c r="F32" i="5"/>
  <c r="F31" i="5"/>
  <c r="D27" i="5"/>
  <c r="D26" i="5"/>
  <c r="D25" i="5"/>
  <c r="J24" i="5"/>
  <c r="D24" i="5"/>
  <c r="E24" i="5" s="1"/>
  <c r="J23" i="5"/>
  <c r="D23" i="5"/>
  <c r="J22" i="5"/>
  <c r="D22" i="5"/>
  <c r="J21" i="5"/>
  <c r="D21" i="5"/>
  <c r="J20" i="5"/>
  <c r="D20" i="5"/>
  <c r="J19" i="5"/>
  <c r="D19" i="5"/>
  <c r="J18" i="5"/>
  <c r="D18" i="5"/>
  <c r="J17" i="5"/>
  <c r="D17" i="5"/>
  <c r="C13" i="5"/>
  <c r="I7" i="5"/>
  <c r="I6" i="5"/>
  <c r="I5" i="5"/>
  <c r="I4" i="5"/>
  <c r="I3" i="5"/>
  <c r="B44" i="3"/>
  <c r="B43" i="3"/>
  <c r="B42" i="3"/>
  <c r="E39" i="3"/>
  <c r="E38" i="3"/>
  <c r="E37" i="3"/>
  <c r="E36" i="3"/>
  <c r="E35" i="3"/>
  <c r="E34" i="3"/>
  <c r="E33" i="3"/>
  <c r="E32" i="3"/>
  <c r="E31" i="3"/>
  <c r="K27" i="3"/>
  <c r="E27" i="3"/>
  <c r="K26" i="3"/>
  <c r="E26" i="3"/>
  <c r="K25" i="3"/>
  <c r="E25" i="3"/>
  <c r="K24" i="3"/>
  <c r="E24" i="3"/>
  <c r="K23" i="3"/>
  <c r="E23" i="3"/>
  <c r="K22" i="3"/>
  <c r="E22" i="3"/>
  <c r="K21" i="3"/>
  <c r="E21" i="3"/>
  <c r="K20" i="3"/>
  <c r="E20" i="3"/>
  <c r="K19" i="3"/>
  <c r="E19" i="3"/>
  <c r="D14" i="3"/>
  <c r="E26" i="4"/>
  <c r="D21" i="4"/>
  <c r="J20" i="4"/>
  <c r="D20" i="4"/>
  <c r="J19" i="4"/>
  <c r="D19" i="4"/>
  <c r="J18" i="4"/>
  <c r="D18" i="4"/>
  <c r="J17" i="4"/>
  <c r="D17" i="4"/>
  <c r="J16" i="4"/>
  <c r="D16" i="4"/>
  <c r="J15" i="4"/>
  <c r="D15" i="4"/>
  <c r="J14" i="4"/>
  <c r="D14" i="4"/>
  <c r="J13" i="4"/>
  <c r="D13" i="4"/>
  <c r="E9" i="4"/>
  <c r="E8" i="4"/>
  <c r="H7" i="4"/>
  <c r="E7" i="4"/>
  <c r="H6" i="4"/>
  <c r="E6" i="4"/>
  <c r="H5" i="4"/>
  <c r="E5" i="4"/>
  <c r="H4" i="4"/>
  <c r="E4" i="4"/>
  <c r="H3" i="4"/>
  <c r="E3" i="4"/>
  <c r="J5" i="7" l="1"/>
  <c r="J7" i="7"/>
  <c r="E21" i="5"/>
  <c r="E20" i="5"/>
  <c r="E22" i="5"/>
  <c r="J9" i="7"/>
  <c r="E17" i="5"/>
  <c r="J10" i="7"/>
  <c r="E27" i="5"/>
  <c r="J4" i="7"/>
  <c r="J8" i="7"/>
  <c r="J11" i="7"/>
  <c r="J3" i="7"/>
  <c r="E23" i="5"/>
  <c r="E18" i="5"/>
  <c r="E26" i="5"/>
  <c r="E19" i="5"/>
  <c r="E25" i="5"/>
  <c r="E26" i="2"/>
  <c r="E27" i="2"/>
  <c r="E18" i="2"/>
  <c r="E19" i="2"/>
  <c r="E20" i="2"/>
  <c r="E21" i="2"/>
  <c r="E22" i="2"/>
  <c r="E23" i="2"/>
  <c r="E24" i="2"/>
  <c r="D32" i="2"/>
  <c r="D33" i="2"/>
  <c r="D34" i="2"/>
  <c r="D35" i="2"/>
  <c r="D36" i="2"/>
  <c r="D37" i="2"/>
  <c r="D38" i="2"/>
  <c r="D31" i="2"/>
  <c r="E25" i="2"/>
  <c r="D4" i="1" l="1"/>
  <c r="D5" i="1"/>
  <c r="D6" i="1"/>
  <c r="D7" i="1"/>
  <c r="D8" i="1"/>
  <c r="D9" i="1"/>
  <c r="D3" i="1"/>
  <c r="D34" i="1" l="1"/>
  <c r="J10" i="10" l="1"/>
  <c r="J9" i="10"/>
  <c r="J8" i="10"/>
  <c r="J7" i="10"/>
  <c r="J6" i="10"/>
  <c r="J5" i="10"/>
  <c r="J4" i="10"/>
  <c r="J3" i="10"/>
  <c r="M18" i="2" l="1"/>
  <c r="M19" i="2"/>
  <c r="M20" i="2"/>
  <c r="M21" i="2"/>
  <c r="M22" i="2"/>
  <c r="M23" i="2"/>
  <c r="M24" i="2"/>
  <c r="M25" i="2"/>
  <c r="M26" i="2"/>
  <c r="I17" i="1"/>
  <c r="I18" i="1"/>
  <c r="I19" i="1"/>
  <c r="I20" i="1"/>
  <c r="I21" i="1"/>
  <c r="I22" i="1"/>
  <c r="I23" i="1"/>
  <c r="I24" i="1"/>
  <c r="I25" i="1"/>
  <c r="I26" i="1"/>
  <c r="B22" i="1"/>
  <c r="B21" i="1"/>
  <c r="B20" i="1"/>
  <c r="B19" i="1"/>
  <c r="B18" i="1"/>
  <c r="B17" i="1"/>
  <c r="B16" i="1"/>
  <c r="B15" i="1"/>
  <c r="B14" i="1"/>
  <c r="B13" i="1"/>
  <c r="M12" i="2"/>
  <c r="M11" i="2"/>
  <c r="M10" i="2"/>
  <c r="M9" i="2"/>
  <c r="M8" i="2"/>
  <c r="M7" i="2"/>
  <c r="M6" i="2"/>
  <c r="M5" i="2"/>
  <c r="M4" i="2"/>
  <c r="M3" i="2"/>
  <c r="K13" i="1"/>
  <c r="M13" i="2" l="1"/>
  <c r="D9" i="2"/>
  <c r="D8" i="2"/>
  <c r="D7" i="2"/>
  <c r="D6" i="2"/>
  <c r="D5" i="2"/>
  <c r="D4" i="2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<sst xmlns="http://schemas.openxmlformats.org/spreadsheetml/2006/main" count="1336" uniqueCount="1061">
  <si>
    <t xml:space="preserve">[표1] </t>
    <phoneticPr fontId="4" type="noConversion"/>
  </si>
  <si>
    <t>성명</t>
    <phoneticPr fontId="4" type="noConversion"/>
  </si>
  <si>
    <t>학점</t>
    <phoneticPr fontId="4" type="noConversion"/>
  </si>
  <si>
    <t>학점</t>
    <phoneticPr fontId="4" type="noConversion"/>
  </si>
  <si>
    <t>F</t>
    <phoneticPr fontId="4" type="noConversion"/>
  </si>
  <si>
    <t>[표5]</t>
    <phoneticPr fontId="4" type="noConversion"/>
  </si>
  <si>
    <t>비고</t>
    <phoneticPr fontId="4" type="noConversion"/>
  </si>
  <si>
    <t>직위</t>
    <phoneticPr fontId="10" type="noConversion"/>
  </si>
  <si>
    <t>주임</t>
    <phoneticPr fontId="4" type="noConversion"/>
  </si>
  <si>
    <t>M-120</t>
    <phoneticPr fontId="4" type="noConversion"/>
  </si>
  <si>
    <t>이민수</t>
    <phoneticPr fontId="4" type="noConversion"/>
  </si>
  <si>
    <t>N-082</t>
    <phoneticPr fontId="4" type="noConversion"/>
  </si>
  <si>
    <t>김병훈</t>
    <phoneticPr fontId="4" type="noConversion"/>
  </si>
  <si>
    <t>S-035</t>
    <phoneticPr fontId="4" type="noConversion"/>
  </si>
  <si>
    <t>최주영</t>
    <phoneticPr fontId="4" type="noConversion"/>
  </si>
  <si>
    <t>M-072</t>
    <phoneticPr fontId="4" type="noConversion"/>
  </si>
  <si>
    <t>길미라</t>
    <phoneticPr fontId="4" type="noConversion"/>
  </si>
  <si>
    <t>S-141</t>
    <phoneticPr fontId="4" type="noConversion"/>
  </si>
  <si>
    <t>나태후</t>
    <phoneticPr fontId="4" type="noConversion"/>
  </si>
  <si>
    <t>N-033</t>
    <phoneticPr fontId="4" type="noConversion"/>
  </si>
  <si>
    <t>전영태</t>
    <phoneticPr fontId="4" type="noConversion"/>
  </si>
  <si>
    <t>M-037</t>
    <phoneticPr fontId="4" type="noConversion"/>
  </si>
  <si>
    <t>조영선</t>
    <phoneticPr fontId="4" type="noConversion"/>
  </si>
  <si>
    <t>A-028</t>
    <phoneticPr fontId="4" type="noConversion"/>
  </si>
  <si>
    <t>박민혜</t>
    <phoneticPr fontId="4" type="noConversion"/>
  </si>
  <si>
    <t>S</t>
    <phoneticPr fontId="4" type="noConversion"/>
  </si>
  <si>
    <t>N</t>
    <phoneticPr fontId="4" type="noConversion"/>
  </si>
  <si>
    <t>M</t>
    <phoneticPr fontId="4" type="noConversion"/>
  </si>
  <si>
    <t>총점</t>
    <phoneticPr fontId="4" type="noConversion"/>
  </si>
  <si>
    <t>[표2]</t>
    <phoneticPr fontId="4" type="noConversion"/>
  </si>
  <si>
    <t>[표3]</t>
    <phoneticPr fontId="4" type="noConversion"/>
  </si>
  <si>
    <t>[표4]</t>
    <phoneticPr fontId="4" type="noConversion"/>
  </si>
  <si>
    <t>성별</t>
    <phoneticPr fontId="4" type="noConversion"/>
  </si>
  <si>
    <t>남</t>
    <phoneticPr fontId="4" type="noConversion"/>
  </si>
  <si>
    <t>서울</t>
    <phoneticPr fontId="4" type="noConversion"/>
  </si>
  <si>
    <t>여</t>
    <phoneticPr fontId="4" type="noConversion"/>
  </si>
  <si>
    <t>경기</t>
    <phoneticPr fontId="4" type="noConversion"/>
  </si>
  <si>
    <t>일반</t>
    <phoneticPr fontId="4" type="noConversion"/>
  </si>
  <si>
    <t>결과</t>
    <phoneticPr fontId="4" type="noConversion"/>
  </si>
  <si>
    <t>[표1]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</si>
  <si>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</si>
  <si>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</si>
  <si>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</si>
  <si>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선수명</t>
    <phoneticPr fontId="4" type="noConversion"/>
  </si>
  <si>
    <t>기록</t>
    <phoneticPr fontId="4" type="noConversion"/>
  </si>
  <si>
    <t>차량5부제</t>
    <phoneticPr fontId="4" type="noConversion"/>
  </si>
  <si>
    <t>수상</t>
    <phoneticPr fontId="4" type="noConversion"/>
  </si>
  <si>
    <t>은상</t>
    <phoneticPr fontId="4" type="noConversion"/>
  </si>
  <si>
    <t>회원 관리 현황</t>
  </si>
  <si>
    <t>회원코드</t>
  </si>
  <si>
    <t>구매횟수</t>
  </si>
  <si>
    <t>총결제액</t>
  </si>
  <si>
    <t>고객등급</t>
  </si>
  <si>
    <t>여</t>
  </si>
  <si>
    <t>남</t>
  </si>
  <si>
    <t>성별</t>
  </si>
  <si>
    <t>판매량</t>
  </si>
  <si>
    <t>성명</t>
  </si>
  <si>
    <t>주민등록번호</t>
  </si>
  <si>
    <t>사원명</t>
  </si>
  <si>
    <t>이용요금</t>
  </si>
  <si>
    <t>나이</t>
  </si>
  <si>
    <t>출근일</t>
  </si>
  <si>
    <t>일수</t>
  </si>
  <si>
    <t>비고</t>
  </si>
  <si>
    <t>평균</t>
  </si>
  <si>
    <t>기말고사</t>
  </si>
  <si>
    <t>중간고사</t>
  </si>
  <si>
    <t>서울</t>
  </si>
  <si>
    <t>택배요금</t>
  </si>
  <si>
    <t>대전</t>
  </si>
  <si>
    <t>지각</t>
  </si>
  <si>
    <t>조퇴</t>
  </si>
  <si>
    <t>020521-447****</t>
  </si>
  <si>
    <t>생년월일</t>
  </si>
  <si>
    <t>가점</t>
    <phoneticPr fontId="4" type="noConversion"/>
  </si>
  <si>
    <t>가입자</t>
    <phoneticPr fontId="4" type="noConversion"/>
  </si>
  <si>
    <t>청약가입일자</t>
    <phoneticPr fontId="4" type="noConversion"/>
  </si>
  <si>
    <t>가입코드</t>
    <phoneticPr fontId="4" type="noConversion"/>
  </si>
  <si>
    <t>목요일</t>
    <phoneticPr fontId="4" type="noConversion"/>
  </si>
  <si>
    <t>A1011</t>
    <phoneticPr fontId="4" type="noConversion"/>
  </si>
  <si>
    <t>수요일</t>
    <phoneticPr fontId="4" type="noConversion"/>
  </si>
  <si>
    <t>7</t>
    <phoneticPr fontId="4" type="noConversion"/>
  </si>
  <si>
    <t>A2013</t>
    <phoneticPr fontId="4" type="noConversion"/>
  </si>
  <si>
    <t>화요일</t>
    <phoneticPr fontId="4" type="noConversion"/>
  </si>
  <si>
    <t>B2104</t>
    <phoneticPr fontId="4" type="noConversion"/>
  </si>
  <si>
    <t>월요일</t>
    <phoneticPr fontId="4" type="noConversion"/>
  </si>
  <si>
    <t>C0916</t>
    <phoneticPr fontId="4" type="noConversion"/>
  </si>
  <si>
    <t>4</t>
    <phoneticPr fontId="4" type="noConversion"/>
  </si>
  <si>
    <t>D4508</t>
    <phoneticPr fontId="4" type="noConversion"/>
  </si>
  <si>
    <t>3</t>
    <phoneticPr fontId="4" type="noConversion"/>
  </si>
  <si>
    <t>B3702</t>
    <phoneticPr fontId="4" type="noConversion"/>
  </si>
  <si>
    <t>화요일</t>
    <phoneticPr fontId="4" type="noConversion"/>
  </si>
  <si>
    <t>2</t>
    <phoneticPr fontId="4" type="noConversion"/>
  </si>
  <si>
    <t>C0105</t>
    <phoneticPr fontId="4" type="noConversion"/>
  </si>
  <si>
    <t>월요일</t>
    <phoneticPr fontId="4" type="noConversion"/>
  </si>
  <si>
    <t>1</t>
    <phoneticPr fontId="4" type="noConversion"/>
  </si>
  <si>
    <t>D4207</t>
    <phoneticPr fontId="4" type="noConversion"/>
  </si>
  <si>
    <t>끝번호</t>
    <phoneticPr fontId="4" type="noConversion"/>
  </si>
  <si>
    <t>구분</t>
    <phoneticPr fontId="4" type="noConversion"/>
  </si>
  <si>
    <t>초과근무시간</t>
    <phoneticPr fontId="10" type="noConversion"/>
  </si>
  <si>
    <t>사원명</t>
    <phoneticPr fontId="10" type="noConversion"/>
  </si>
  <si>
    <t>학년</t>
    <phoneticPr fontId="4" type="noConversion"/>
  </si>
  <si>
    <t>점수</t>
    <phoneticPr fontId="4" type="noConversion"/>
  </si>
  <si>
    <t>평균점수</t>
    <phoneticPr fontId="4" type="noConversion"/>
  </si>
  <si>
    <t>학생</t>
    <phoneticPr fontId="4" type="noConversion"/>
  </si>
  <si>
    <t xml:space="preserve">[표3] </t>
    <phoneticPr fontId="4" type="noConversion"/>
  </si>
  <si>
    <t>소속팀</t>
    <phoneticPr fontId="4" type="noConversion"/>
  </si>
  <si>
    <t>학생명</t>
    <phoneticPr fontId="4" type="noConversion"/>
  </si>
  <si>
    <t>최수현</t>
    <phoneticPr fontId="4" type="noConversion"/>
  </si>
  <si>
    <t>일반</t>
    <phoneticPr fontId="4" type="noConversion"/>
  </si>
  <si>
    <t>이름</t>
    <phoneticPr fontId="4" type="noConversion"/>
  </si>
  <si>
    <t>정재윤</t>
    <phoneticPr fontId="4" type="noConversion"/>
  </si>
  <si>
    <t>김진산</t>
    <phoneticPr fontId="4" type="noConversion"/>
  </si>
  <si>
    <t>장하은</t>
    <phoneticPr fontId="4" type="noConversion"/>
  </si>
  <si>
    <t>황현조</t>
    <phoneticPr fontId="4" type="noConversion"/>
  </si>
  <si>
    <t>박다울</t>
    <phoneticPr fontId="4" type="noConversion"/>
  </si>
  <si>
    <t>김예지</t>
    <phoneticPr fontId="4" type="noConversion"/>
  </si>
  <si>
    <t>황린</t>
    <phoneticPr fontId="4" type="noConversion"/>
  </si>
  <si>
    <t>[표4]</t>
    <phoneticPr fontId="4" type="noConversion"/>
  </si>
  <si>
    <r>
      <t>[표5]</t>
    </r>
    <r>
      <rPr>
        <sz val="12"/>
        <color theme="1"/>
        <rFont val="맑은 고딕"/>
        <family val="3"/>
        <charset val="129"/>
        <scheme val="minor"/>
      </rPr>
      <t xml:space="preserve"> </t>
    </r>
    <phoneticPr fontId="10" type="noConversion"/>
  </si>
  <si>
    <t>수강일자</t>
    <phoneticPr fontId="4" type="noConversion"/>
  </si>
  <si>
    <t>요일</t>
    <phoneticPr fontId="4" type="noConversion"/>
  </si>
  <si>
    <t>문화센터 등록자 인적사항</t>
    <phoneticPr fontId="4" type="noConversion"/>
  </si>
  <si>
    <t>950208-1******</t>
    <phoneticPr fontId="4" type="noConversion"/>
  </si>
  <si>
    <t>이주호</t>
    <phoneticPr fontId="4" type="noConversion"/>
  </si>
  <si>
    <t>민지은</t>
    <phoneticPr fontId="4" type="noConversion"/>
  </si>
  <si>
    <t>김서은</t>
    <phoneticPr fontId="4" type="noConversion"/>
  </si>
  <si>
    <t>박정환</t>
    <phoneticPr fontId="4" type="noConversion"/>
  </si>
  <si>
    <t>황성현</t>
    <phoneticPr fontId="4" type="noConversion"/>
  </si>
  <si>
    <t>정소희</t>
    <phoneticPr fontId="4" type="noConversion"/>
  </si>
  <si>
    <t>구현우</t>
    <phoneticPr fontId="4" type="noConversion"/>
  </si>
  <si>
    <t>최사랑</t>
    <phoneticPr fontId="4" type="noConversion"/>
  </si>
  <si>
    <t>성미란</t>
    <phoneticPr fontId="4" type="noConversion"/>
  </si>
  <si>
    <t>장정호</t>
    <phoneticPr fontId="4" type="noConversion"/>
  </si>
  <si>
    <t>030504-4******</t>
    <phoneticPr fontId="4" type="noConversion"/>
  </si>
  <si>
    <t>020807-3******</t>
    <phoneticPr fontId="4" type="noConversion"/>
  </si>
  <si>
    <t>960209-2******</t>
    <phoneticPr fontId="4" type="noConversion"/>
  </si>
  <si>
    <t>040904-3******</t>
    <phoneticPr fontId="4" type="noConversion"/>
  </si>
  <si>
    <t>011014-3******</t>
    <phoneticPr fontId="4" type="noConversion"/>
  </si>
  <si>
    <t>941017-2******</t>
    <phoneticPr fontId="4" type="noConversion"/>
  </si>
  <si>
    <t>880409-1******</t>
    <phoneticPr fontId="4" type="noConversion"/>
  </si>
  <si>
    <t>031124-4******</t>
    <phoneticPr fontId="4" type="noConversion"/>
  </si>
  <si>
    <t>980106-2******</t>
    <phoneticPr fontId="4" type="noConversion"/>
  </si>
  <si>
    <t>피아노</t>
    <phoneticPr fontId="4" type="noConversion"/>
  </si>
  <si>
    <t>드럼</t>
    <phoneticPr fontId="4" type="noConversion"/>
  </si>
  <si>
    <t>바이올린</t>
    <phoneticPr fontId="4" type="noConversion"/>
  </si>
  <si>
    <t>보컬</t>
    <phoneticPr fontId="4" type="noConversion"/>
  </si>
  <si>
    <t>난타</t>
    <phoneticPr fontId="4" type="noConversion"/>
  </si>
  <si>
    <t>색소폰</t>
    <phoneticPr fontId="4" type="noConversion"/>
  </si>
  <si>
    <t>첼로</t>
    <phoneticPr fontId="4" type="noConversion"/>
  </si>
  <si>
    <t>일렉기타</t>
    <phoneticPr fontId="4" type="noConversion"/>
  </si>
  <si>
    <t>포크기타</t>
    <phoneticPr fontId="4" type="noConversion"/>
  </si>
  <si>
    <t>기간</t>
    <phoneticPr fontId="4" type="noConversion"/>
  </si>
  <si>
    <t>프로그램</t>
    <phoneticPr fontId="4" type="noConversion"/>
  </si>
  <si>
    <t>3개월</t>
    <phoneticPr fontId="4" type="noConversion"/>
  </si>
  <si>
    <t>6개월</t>
    <phoneticPr fontId="4" type="noConversion"/>
  </si>
  <si>
    <t>서울</t>
    <phoneticPr fontId="10" type="noConversion"/>
  </si>
  <si>
    <t>소속팀</t>
    <phoneticPr fontId="10" type="noConversion"/>
  </si>
  <si>
    <t>부산</t>
    <phoneticPr fontId="10" type="noConversion"/>
  </si>
  <si>
    <t>광주</t>
    <phoneticPr fontId="10" type="noConversion"/>
  </si>
  <si>
    <t>선수명</t>
    <phoneticPr fontId="10" type="noConversion"/>
  </si>
  <si>
    <t>전체 평균 - 서울 평균</t>
    <phoneticPr fontId="10" type="noConversion"/>
  </si>
  <si>
    <t>개인점수</t>
    <phoneticPr fontId="10" type="noConversion"/>
  </si>
  <si>
    <t>조현우</t>
    <phoneticPr fontId="10" type="noConversion"/>
  </si>
  <si>
    <t>김혁진</t>
    <phoneticPr fontId="10" type="noConversion"/>
  </si>
  <si>
    <t>민준수</t>
    <phoneticPr fontId="10" type="noConversion"/>
  </si>
  <si>
    <t>성도경</t>
    <phoneticPr fontId="4" type="noConversion"/>
  </si>
  <si>
    <t>곽승호</t>
    <phoneticPr fontId="4" type="noConversion"/>
  </si>
  <si>
    <t>서현국</t>
    <phoneticPr fontId="10" type="noConversion"/>
  </si>
  <si>
    <t>박정호</t>
    <phoneticPr fontId="10" type="noConversion"/>
  </si>
  <si>
    <t>이정현</t>
    <phoneticPr fontId="10" type="noConversion"/>
  </si>
  <si>
    <t>공필승</t>
    <phoneticPr fontId="10" type="noConversion"/>
  </si>
  <si>
    <t>학년별 동아리 지원 현황</t>
    <phoneticPr fontId="4" type="noConversion"/>
  </si>
  <si>
    <t>관현악부</t>
    <phoneticPr fontId="4" type="noConversion"/>
  </si>
  <si>
    <t>독서클럽</t>
    <phoneticPr fontId="4" type="noConversion"/>
  </si>
  <si>
    <t>밴드부</t>
    <phoneticPr fontId="4" type="noConversion"/>
  </si>
  <si>
    <t>3학년</t>
    <phoneticPr fontId="4" type="noConversion"/>
  </si>
  <si>
    <t>1학년</t>
    <phoneticPr fontId="4" type="noConversion"/>
  </si>
  <si>
    <t>2학년</t>
    <phoneticPr fontId="4" type="noConversion"/>
  </si>
  <si>
    <t>1학년</t>
    <phoneticPr fontId="4" type="noConversion"/>
  </si>
  <si>
    <t>전서윤</t>
    <phoneticPr fontId="4" type="noConversion"/>
  </si>
  <si>
    <t>민지수</t>
    <phoneticPr fontId="4" type="noConversion"/>
  </si>
  <si>
    <t>정혜성</t>
    <phoneticPr fontId="4" type="noConversion"/>
  </si>
  <si>
    <t>윤여운</t>
    <phoneticPr fontId="4" type="noConversion"/>
  </si>
  <si>
    <t>강소라</t>
    <phoneticPr fontId="4" type="noConversion"/>
  </si>
  <si>
    <t>김채연</t>
    <phoneticPr fontId="4" type="noConversion"/>
  </si>
  <si>
    <t>이진희</t>
    <phoneticPr fontId="4" type="noConversion"/>
  </si>
  <si>
    <t>박소율</t>
    <phoneticPr fontId="4" type="noConversion"/>
  </si>
  <si>
    <t>최나영</t>
    <phoneticPr fontId="4" type="noConversion"/>
  </si>
  <si>
    <t>공수지</t>
    <phoneticPr fontId="4" type="noConversion"/>
  </si>
  <si>
    <t>관현악부에 지원한 3학년 학생수</t>
    <phoneticPr fontId="4" type="noConversion"/>
  </si>
  <si>
    <t>O</t>
    <phoneticPr fontId="4" type="noConversion"/>
  </si>
  <si>
    <t>문화센터 수강일</t>
    <phoneticPr fontId="4" type="noConversion"/>
  </si>
  <si>
    <t>남자</t>
  </si>
  <si>
    <t>여자</t>
  </si>
  <si>
    <t>센터등록 현황</t>
    <phoneticPr fontId="4" type="noConversion"/>
  </si>
  <si>
    <t>이메일주소</t>
    <phoneticPr fontId="4" type="noConversion"/>
  </si>
  <si>
    <t>회원ID</t>
    <phoneticPr fontId="4" type="noConversion"/>
  </si>
  <si>
    <t>Juho1@naver.net</t>
    <phoneticPr fontId="4" type="noConversion"/>
  </si>
  <si>
    <t>JEMIN@daum.com</t>
    <phoneticPr fontId="4" type="noConversion"/>
  </si>
  <si>
    <t>Seo91@naver.net</t>
    <phoneticPr fontId="4" type="noConversion"/>
  </si>
  <si>
    <t>jhpark@daum.com</t>
    <phoneticPr fontId="4" type="noConversion"/>
  </si>
  <si>
    <t>hwang5@daum.com</t>
    <phoneticPr fontId="4" type="noConversion"/>
  </si>
  <si>
    <t>dance1@naver.net</t>
    <phoneticPr fontId="4" type="noConversion"/>
  </si>
  <si>
    <t>hyunw@daum.com</t>
    <phoneticPr fontId="4" type="noConversion"/>
  </si>
  <si>
    <t>lovechoi@naver.net</t>
    <phoneticPr fontId="4" type="noConversion"/>
  </si>
  <si>
    <t>mimi@daum.com</t>
    <phoneticPr fontId="4" type="noConversion"/>
  </si>
  <si>
    <t>tiger2@naver.net</t>
    <phoneticPr fontId="4" type="noConversion"/>
  </si>
  <si>
    <t xml:space="preserve">[표5] </t>
    <phoneticPr fontId="4" type="noConversion"/>
  </si>
  <si>
    <t>국가</t>
    <phoneticPr fontId="4" type="noConversion"/>
  </si>
  <si>
    <t>incheon</t>
    <phoneticPr fontId="4" type="noConversion"/>
  </si>
  <si>
    <t>pudong</t>
    <phoneticPr fontId="4" type="noConversion"/>
  </si>
  <si>
    <t>icn</t>
    <phoneticPr fontId="4" type="noConversion"/>
  </si>
  <si>
    <t>공항코드</t>
    <phoneticPr fontId="4" type="noConversion"/>
  </si>
  <si>
    <t>공항명</t>
    <phoneticPr fontId="4" type="noConversion"/>
  </si>
  <si>
    <t>세계 주요 공항코드</t>
    <phoneticPr fontId="4" type="noConversion"/>
  </si>
  <si>
    <t>UK</t>
    <phoneticPr fontId="4" type="noConversion"/>
  </si>
  <si>
    <t>London-heathrow</t>
    <phoneticPr fontId="4" type="noConversion"/>
  </si>
  <si>
    <t>China</t>
    <phoneticPr fontId="4" type="noConversion"/>
  </si>
  <si>
    <t>Korea</t>
    <phoneticPr fontId="4" type="noConversion"/>
  </si>
  <si>
    <t>lax</t>
    <phoneticPr fontId="4" type="noConversion"/>
  </si>
  <si>
    <t>USA</t>
    <phoneticPr fontId="4" type="noConversion"/>
  </si>
  <si>
    <t>Canada</t>
    <phoneticPr fontId="4" type="noConversion"/>
  </si>
  <si>
    <t>yyz</t>
    <phoneticPr fontId="4" type="noConversion"/>
  </si>
  <si>
    <t>gru</t>
    <phoneticPr fontId="4" type="noConversion"/>
  </si>
  <si>
    <t>Brazil</t>
    <phoneticPr fontId="4" type="noConversion"/>
  </si>
  <si>
    <t>Australia</t>
    <phoneticPr fontId="4" type="noConversion"/>
  </si>
  <si>
    <t>syd</t>
    <phoneticPr fontId="4" type="noConversion"/>
  </si>
  <si>
    <t>sydney</t>
    <phoneticPr fontId="4" type="noConversion"/>
  </si>
  <si>
    <t>ber</t>
    <phoneticPr fontId="4" type="noConversion"/>
  </si>
  <si>
    <t>Germany</t>
    <phoneticPr fontId="4" type="noConversion"/>
  </si>
  <si>
    <t>berlin</t>
    <phoneticPr fontId="4" type="noConversion"/>
  </si>
  <si>
    <t>dxb</t>
    <phoneticPr fontId="4" type="noConversion"/>
  </si>
  <si>
    <t>dubai</t>
    <phoneticPr fontId="4" type="noConversion"/>
  </si>
  <si>
    <t>UAE</t>
    <phoneticPr fontId="4" type="noConversion"/>
  </si>
  <si>
    <t>pearson</t>
    <phoneticPr fontId="4" type="noConversion"/>
  </si>
  <si>
    <t>sao-paulo</t>
    <phoneticPr fontId="4" type="noConversion"/>
  </si>
  <si>
    <t>pvg</t>
    <phoneticPr fontId="4" type="noConversion"/>
  </si>
  <si>
    <t>lhr</t>
    <phoneticPr fontId="4" type="noConversion"/>
  </si>
  <si>
    <t>Los-Angeles</t>
    <phoneticPr fontId="4" type="noConversion"/>
  </si>
  <si>
    <t>교양과목 학점</t>
    <phoneticPr fontId="4" type="noConversion"/>
  </si>
  <si>
    <t>중간시험</t>
    <phoneticPr fontId="4" type="noConversion"/>
  </si>
  <si>
    <t>기말시험</t>
    <phoneticPr fontId="4" type="noConversion"/>
  </si>
  <si>
    <t>서정훈</t>
    <phoneticPr fontId="4" type="noConversion"/>
  </si>
  <si>
    <t>김영서</t>
    <phoneticPr fontId="4" type="noConversion"/>
  </si>
  <si>
    <t>민하림</t>
    <phoneticPr fontId="4" type="noConversion"/>
  </si>
  <si>
    <t>정수정</t>
    <phoneticPr fontId="4" type="noConversion"/>
  </si>
  <si>
    <t>유진산</t>
    <phoneticPr fontId="4" type="noConversion"/>
  </si>
  <si>
    <t>방소연</t>
    <phoneticPr fontId="4" type="noConversion"/>
  </si>
  <si>
    <t>학점평가기준표</t>
    <phoneticPr fontId="4" type="noConversion"/>
  </si>
  <si>
    <t>시험평균</t>
    <phoneticPr fontId="4" type="noConversion"/>
  </si>
  <si>
    <t>A+</t>
    <phoneticPr fontId="4" type="noConversion"/>
  </si>
  <si>
    <t>B</t>
    <phoneticPr fontId="4" type="noConversion"/>
  </si>
  <si>
    <t>D</t>
    <phoneticPr fontId="4" type="noConversion"/>
  </si>
  <si>
    <t>개인전</t>
    <phoneticPr fontId="4" type="noConversion"/>
  </si>
  <si>
    <t>단체전</t>
    <phoneticPr fontId="4" type="noConversion"/>
  </si>
  <si>
    <t>송수진</t>
    <phoneticPr fontId="4" type="noConversion"/>
  </si>
  <si>
    <t>양아영</t>
    <phoneticPr fontId="4" type="noConversion"/>
  </si>
  <si>
    <t>최미영</t>
    <phoneticPr fontId="4" type="noConversion"/>
  </si>
  <si>
    <t>조정린</t>
    <phoneticPr fontId="4" type="noConversion"/>
  </si>
  <si>
    <t>박서연</t>
    <phoneticPr fontId="4" type="noConversion"/>
  </si>
  <si>
    <t>장아름</t>
    <phoneticPr fontId="4" type="noConversion"/>
  </si>
  <si>
    <t>민초희</t>
    <phoneticPr fontId="4" type="noConversion"/>
  </si>
  <si>
    <t>김여진</t>
    <phoneticPr fontId="4" type="noConversion"/>
  </si>
  <si>
    <t>곽서진</t>
    <phoneticPr fontId="4" type="noConversion"/>
  </si>
  <si>
    <t>김정미</t>
    <phoneticPr fontId="4" type="noConversion"/>
  </si>
  <si>
    <t>강원</t>
    <phoneticPr fontId="4" type="noConversion"/>
  </si>
  <si>
    <t>강원</t>
    <phoneticPr fontId="4" type="noConversion"/>
  </si>
  <si>
    <r>
      <t>경기/강원팀의 개인전</t>
    </r>
    <r>
      <rPr>
        <sz val="11"/>
        <color theme="1"/>
        <rFont val="맑은 고딕"/>
        <family val="2"/>
        <charset val="129"/>
        <scheme val="minor"/>
      </rPr>
      <t xml:space="preserve"> 우수자 총점 평균</t>
    </r>
    <phoneticPr fontId="4" type="noConversion"/>
  </si>
  <si>
    <t>리듬체조 경기성적</t>
    <phoneticPr fontId="4" type="noConversion"/>
  </si>
  <si>
    <t>인사평가</t>
    <phoneticPr fontId="4" type="noConversion"/>
  </si>
  <si>
    <t>기본급</t>
    <phoneticPr fontId="4" type="noConversion"/>
  </si>
  <si>
    <t>C</t>
    <phoneticPr fontId="4" type="noConversion"/>
  </si>
  <si>
    <t>특별상여금</t>
    <phoneticPr fontId="4" type="noConversion"/>
  </si>
  <si>
    <t>특별상여금 지급 현황</t>
    <phoneticPr fontId="4" type="noConversion"/>
  </si>
  <si>
    <t>S</t>
    <phoneticPr fontId="4" type="noConversion"/>
  </si>
  <si>
    <t>C</t>
    <phoneticPr fontId="4" type="noConversion"/>
  </si>
  <si>
    <t>X</t>
    <phoneticPr fontId="4" type="noConversion"/>
  </si>
  <si>
    <t>지현우</t>
    <phoneticPr fontId="4" type="noConversion"/>
  </si>
  <si>
    <t>마영택</t>
    <phoneticPr fontId="4" type="noConversion"/>
  </si>
  <si>
    <t>전미영</t>
    <phoneticPr fontId="4" type="noConversion"/>
  </si>
  <si>
    <t>장미선</t>
    <phoneticPr fontId="4" type="noConversion"/>
  </si>
  <si>
    <t>이동성</t>
    <phoneticPr fontId="4" type="noConversion"/>
  </si>
  <si>
    <t>김정호</t>
    <phoneticPr fontId="4" type="noConversion"/>
  </si>
  <si>
    <t>민영란</t>
    <phoneticPr fontId="4" type="noConversion"/>
  </si>
  <si>
    <t>성장현</t>
    <phoneticPr fontId="4" type="noConversion"/>
  </si>
  <si>
    <t>공세훈</t>
    <phoneticPr fontId="4" type="noConversion"/>
  </si>
  <si>
    <t>최선율</t>
    <phoneticPr fontId="4" type="noConversion"/>
  </si>
  <si>
    <t>마케팅</t>
    <phoneticPr fontId="4" type="noConversion"/>
  </si>
  <si>
    <t>제조</t>
    <phoneticPr fontId="4" type="noConversion"/>
  </si>
  <si>
    <t>제조</t>
    <phoneticPr fontId="4" type="noConversion"/>
  </si>
  <si>
    <t>이용요금계산</t>
    <phoneticPr fontId="10" type="noConversion"/>
  </si>
  <si>
    <t>전동킥보드 이용요금 계산</t>
    <phoneticPr fontId="4" type="noConversion"/>
  </si>
  <si>
    <t>운행시작</t>
    <phoneticPr fontId="10" type="noConversion"/>
  </si>
  <si>
    <t>운행종료</t>
    <phoneticPr fontId="10" type="noConversion"/>
  </si>
  <si>
    <t>킥보드번호</t>
    <phoneticPr fontId="10" type="noConversion"/>
  </si>
  <si>
    <t>KB-21001</t>
    <phoneticPr fontId="4" type="noConversion"/>
  </si>
  <si>
    <t>KB-21002</t>
  </si>
  <si>
    <t>KB-21003</t>
  </si>
  <si>
    <t>KB-21004</t>
  </si>
  <si>
    <t>KB-21005</t>
  </si>
  <si>
    <t>KB-21006</t>
  </si>
  <si>
    <t>KB-21007</t>
  </si>
  <si>
    <t>KB-21008</t>
  </si>
  <si>
    <t>&lt;특별상여급 지급비율표&gt;</t>
    <phoneticPr fontId="4" type="noConversion"/>
  </si>
  <si>
    <t>지급비율</t>
    <phoneticPr fontId="4" type="noConversion"/>
  </si>
  <si>
    <t xml:space="preserve">[표3] </t>
    <phoneticPr fontId="4" type="noConversion"/>
  </si>
  <si>
    <t>[표1]</t>
    <phoneticPr fontId="4" type="noConversion"/>
  </si>
  <si>
    <t>차량판매 현황</t>
    <phoneticPr fontId="4" type="noConversion"/>
  </si>
  <si>
    <r>
      <t>&lt;운행제한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요일표&gt;</t>
    </r>
    <phoneticPr fontId="4" type="noConversion"/>
  </si>
  <si>
    <t>영업사원명</t>
    <phoneticPr fontId="4" type="noConversion"/>
  </si>
  <si>
    <t>근무년수</t>
    <phoneticPr fontId="4" type="noConversion"/>
  </si>
  <si>
    <t>차량번호</t>
    <phoneticPr fontId="14" type="noConversion"/>
  </si>
  <si>
    <t>운휴일</t>
    <phoneticPr fontId="4" type="noConversion"/>
  </si>
  <si>
    <t>끝번호</t>
    <phoneticPr fontId="4" type="noConversion"/>
  </si>
  <si>
    <t>요일</t>
    <phoneticPr fontId="4" type="noConversion"/>
  </si>
  <si>
    <t>민정호</t>
    <phoneticPr fontId="4" type="noConversion"/>
  </si>
  <si>
    <t>2하2005</t>
    <phoneticPr fontId="4" type="noConversion"/>
  </si>
  <si>
    <t>월요일</t>
    <phoneticPr fontId="4" type="noConversion"/>
  </si>
  <si>
    <t>정우진</t>
    <phoneticPr fontId="4" type="noConversion"/>
  </si>
  <si>
    <t>3다7709</t>
    <phoneticPr fontId="4" type="noConversion"/>
  </si>
  <si>
    <t>화요일</t>
    <phoneticPr fontId="4" type="noConversion"/>
  </si>
  <si>
    <t>한성준</t>
    <phoneticPr fontId="4" type="noConversion"/>
  </si>
  <si>
    <t>2부2893</t>
    <phoneticPr fontId="4" type="noConversion"/>
  </si>
  <si>
    <t>수요일</t>
    <phoneticPr fontId="4" type="noConversion"/>
  </si>
  <si>
    <t>김수철</t>
    <phoneticPr fontId="4" type="noConversion"/>
  </si>
  <si>
    <t>8더5562</t>
    <phoneticPr fontId="4" type="noConversion"/>
  </si>
  <si>
    <t>목요일</t>
    <phoneticPr fontId="4" type="noConversion"/>
  </si>
  <si>
    <t>오희연</t>
    <phoneticPr fontId="4" type="noConversion"/>
  </si>
  <si>
    <t>4머8681</t>
    <phoneticPr fontId="4" type="noConversion"/>
  </si>
  <si>
    <t>금요일</t>
    <phoneticPr fontId="4" type="noConversion"/>
  </si>
  <si>
    <t>민종선</t>
    <phoneticPr fontId="4" type="noConversion"/>
  </si>
  <si>
    <t>박성훈</t>
    <phoneticPr fontId="4" type="noConversion"/>
  </si>
  <si>
    <t>박성훈</t>
    <phoneticPr fontId="4" type="noConversion"/>
  </si>
  <si>
    <t>[표3]</t>
    <phoneticPr fontId="4" type="noConversion"/>
  </si>
  <si>
    <t>빌딩 입주기업 하계휴가 일정표</t>
    <phoneticPr fontId="4" type="noConversion"/>
  </si>
  <si>
    <t>[표4]</t>
    <phoneticPr fontId="4" type="noConversion"/>
  </si>
  <si>
    <t>청약 가입자 현황</t>
    <phoneticPr fontId="4" type="noConversion"/>
  </si>
  <si>
    <t>기업명</t>
    <phoneticPr fontId="4" type="noConversion"/>
  </si>
  <si>
    <t>휴가시작일</t>
    <phoneticPr fontId="4" type="noConversion"/>
  </si>
  <si>
    <t>신청순서</t>
    <phoneticPr fontId="4" type="noConversion"/>
  </si>
  <si>
    <t>가입자</t>
    <phoneticPr fontId="4" type="noConversion"/>
  </si>
  <si>
    <t>가입지역</t>
    <phoneticPr fontId="4" type="noConversion"/>
  </si>
  <si>
    <t>케이전자</t>
    <phoneticPr fontId="4" type="noConversion"/>
  </si>
  <si>
    <t>김호명</t>
  </si>
  <si>
    <t>미래유통</t>
    <phoneticPr fontId="4" type="noConversion"/>
  </si>
  <si>
    <t>정우진</t>
  </si>
  <si>
    <t>나라기업</t>
    <phoneticPr fontId="4" type="noConversion"/>
  </si>
  <si>
    <t>성경호</t>
  </si>
  <si>
    <t>월드비전</t>
    <phoneticPr fontId="4" type="noConversion"/>
  </si>
  <si>
    <t>장수호</t>
  </si>
  <si>
    <t>스카이무역</t>
    <phoneticPr fontId="4" type="noConversion"/>
  </si>
  <si>
    <t>민지수</t>
  </si>
  <si>
    <t>정호정공</t>
    <phoneticPr fontId="4" type="noConversion"/>
  </si>
  <si>
    <t>염의지</t>
  </si>
  <si>
    <t>합동상사</t>
    <phoneticPr fontId="4" type="noConversion"/>
  </si>
  <si>
    <t>이정우</t>
  </si>
  <si>
    <t>영남기업</t>
    <phoneticPr fontId="4" type="noConversion"/>
  </si>
  <si>
    <t>박마음</t>
  </si>
  <si>
    <t>사랑재단</t>
    <phoneticPr fontId="4" type="noConversion"/>
  </si>
  <si>
    <t xml:space="preserve">[표5] </t>
    <phoneticPr fontId="4" type="noConversion"/>
  </si>
  <si>
    <t>선택과목 평균</t>
    <phoneticPr fontId="4" type="noConversion"/>
  </si>
  <si>
    <t>영역구분</t>
    <phoneticPr fontId="10" type="noConversion"/>
  </si>
  <si>
    <t>선택과목명</t>
    <phoneticPr fontId="10" type="noConversion"/>
  </si>
  <si>
    <t>평균</t>
    <phoneticPr fontId="10" type="noConversion"/>
  </si>
  <si>
    <t>사탐</t>
    <phoneticPr fontId="4" type="noConversion"/>
  </si>
  <si>
    <t>윤리</t>
    <phoneticPr fontId="4" type="noConversion"/>
  </si>
  <si>
    <t>2학년 사탐 최대최저</t>
    <phoneticPr fontId="4" type="noConversion"/>
  </si>
  <si>
    <t>과탐</t>
    <phoneticPr fontId="4" type="noConversion"/>
  </si>
  <si>
    <t>과탐</t>
    <phoneticPr fontId="4" type="noConversion"/>
  </si>
  <si>
    <t>생명과학</t>
    <phoneticPr fontId="4" type="noConversion"/>
  </si>
  <si>
    <t>사탐</t>
    <phoneticPr fontId="4" type="noConversion"/>
  </si>
  <si>
    <t>역사</t>
    <phoneticPr fontId="4" type="noConversion"/>
  </si>
  <si>
    <t>과탐</t>
    <phoneticPr fontId="4" type="noConversion"/>
  </si>
  <si>
    <t>물리학</t>
    <phoneticPr fontId="4" type="noConversion"/>
  </si>
  <si>
    <t>화학</t>
    <phoneticPr fontId="4" type="noConversion"/>
  </si>
  <si>
    <t>화학</t>
    <phoneticPr fontId="4" type="noConversion"/>
  </si>
  <si>
    <t>일반사회</t>
    <phoneticPr fontId="4" type="noConversion"/>
  </si>
  <si>
    <t>윤리</t>
    <phoneticPr fontId="4" type="noConversion"/>
  </si>
  <si>
    <t>지구과학</t>
    <phoneticPr fontId="4" type="noConversion"/>
  </si>
  <si>
    <t>지리</t>
    <phoneticPr fontId="4" type="noConversion"/>
  </si>
  <si>
    <t>일반사회</t>
    <phoneticPr fontId="4" type="noConversion"/>
  </si>
  <si>
    <t>물리학</t>
    <phoneticPr fontId="4" type="noConversion"/>
  </si>
  <si>
    <t>역사</t>
    <phoneticPr fontId="4" type="noConversion"/>
  </si>
  <si>
    <t>과탐</t>
    <phoneticPr fontId="4" type="noConversion"/>
  </si>
  <si>
    <t>생명과학</t>
    <phoneticPr fontId="4" type="noConversion"/>
  </si>
  <si>
    <t>단체전 최종점수</t>
    <phoneticPr fontId="4" type="noConversion"/>
  </si>
  <si>
    <t>마라톤 결과</t>
    <phoneticPr fontId="4" type="noConversion"/>
  </si>
  <si>
    <t>연령</t>
    <phoneticPr fontId="4" type="noConversion"/>
  </si>
  <si>
    <t>가슴번호</t>
    <phoneticPr fontId="4" type="noConversion"/>
  </si>
  <si>
    <t>GER</t>
    <phoneticPr fontId="4" type="noConversion"/>
  </si>
  <si>
    <t>K. 미셸</t>
    <phoneticPr fontId="4" type="noConversion"/>
  </si>
  <si>
    <t>ROC</t>
    <phoneticPr fontId="4" type="noConversion"/>
  </si>
  <si>
    <t>G. 스베틀라나</t>
    <phoneticPr fontId="4" type="noConversion"/>
  </si>
  <si>
    <t>KOR</t>
    <phoneticPr fontId="4" type="noConversion"/>
  </si>
  <si>
    <t>A. 산</t>
    <phoneticPr fontId="4" type="noConversion"/>
  </si>
  <si>
    <t>U. 리사</t>
    <phoneticPr fontId="4" type="noConversion"/>
  </si>
  <si>
    <t>J. 민희</t>
    <phoneticPr fontId="4" type="noConversion"/>
  </si>
  <si>
    <t>O. 엘레나</t>
    <phoneticPr fontId="4" type="noConversion"/>
  </si>
  <si>
    <t>K. 채영</t>
    <phoneticPr fontId="4" type="noConversion"/>
  </si>
  <si>
    <t>S. 카를라인</t>
    <phoneticPr fontId="4" type="noConversion"/>
  </si>
  <si>
    <t>P. 크세니아</t>
    <phoneticPr fontId="4" type="noConversion"/>
  </si>
  <si>
    <t>조건</t>
    <phoneticPr fontId="4" type="noConversion"/>
  </si>
  <si>
    <t>팀 KOR 평균 점수</t>
    <phoneticPr fontId="4" type="noConversion"/>
  </si>
  <si>
    <t>키즈카페 이용 현황</t>
    <phoneticPr fontId="4" type="noConversion"/>
  </si>
  <si>
    <t xml:space="preserve">[표4] </t>
    <phoneticPr fontId="4" type="noConversion"/>
  </si>
  <si>
    <t>청약가점 현황</t>
    <phoneticPr fontId="4" type="noConversion"/>
  </si>
  <si>
    <t>이용자</t>
    <phoneticPr fontId="4" type="noConversion"/>
  </si>
  <si>
    <t>입장시간</t>
    <phoneticPr fontId="4" type="noConversion"/>
  </si>
  <si>
    <t>퇴장시간</t>
    <phoneticPr fontId="4" type="noConversion"/>
  </si>
  <si>
    <t>무주택기간</t>
    <phoneticPr fontId="4" type="noConversion"/>
  </si>
  <si>
    <t>부양가족수</t>
    <phoneticPr fontId="4" type="noConversion"/>
  </si>
  <si>
    <t>청약통장 가입기간</t>
    <phoneticPr fontId="4" type="noConversion"/>
  </si>
  <si>
    <t>가점등급</t>
    <phoneticPr fontId="4" type="noConversion"/>
  </si>
  <si>
    <t>김지우</t>
    <phoneticPr fontId="4" type="noConversion"/>
  </si>
  <si>
    <t>김호명</t>
    <phoneticPr fontId="4" type="noConversion"/>
  </si>
  <si>
    <t>민송희</t>
    <phoneticPr fontId="4" type="noConversion"/>
  </si>
  <si>
    <t>정현수</t>
    <phoneticPr fontId="4" type="noConversion"/>
  </si>
  <si>
    <t>성경호</t>
    <phoneticPr fontId="4" type="noConversion"/>
  </si>
  <si>
    <t>박종성</t>
    <phoneticPr fontId="4" type="noConversion"/>
  </si>
  <si>
    <t>장수호</t>
    <phoneticPr fontId="4" type="noConversion"/>
  </si>
  <si>
    <t>임우주</t>
    <phoneticPr fontId="4" type="noConversion"/>
  </si>
  <si>
    <t>강나희</t>
    <phoneticPr fontId="4" type="noConversion"/>
  </si>
  <si>
    <t>염의지</t>
    <phoneticPr fontId="4" type="noConversion"/>
  </si>
  <si>
    <t>곽민준</t>
    <phoneticPr fontId="4" type="noConversion"/>
  </si>
  <si>
    <t>이정우</t>
    <phoneticPr fontId="4" type="noConversion"/>
  </si>
  <si>
    <t>장사랑</t>
    <phoneticPr fontId="4" type="noConversion"/>
  </si>
  <si>
    <t>박마음</t>
    <phoneticPr fontId="4" type="noConversion"/>
  </si>
  <si>
    <t>최성수</t>
    <phoneticPr fontId="4" type="noConversion"/>
  </si>
  <si>
    <t>최수형</t>
    <phoneticPr fontId="4" type="noConversion"/>
  </si>
  <si>
    <t>월간 초과근무시간 현황</t>
    <phoneticPr fontId="4" type="noConversion"/>
  </si>
  <si>
    <t>&lt;가점등급표&gt;</t>
    <phoneticPr fontId="4" type="noConversion"/>
  </si>
  <si>
    <t>지점명</t>
    <phoneticPr fontId="10" type="noConversion"/>
  </si>
  <si>
    <t>매니저명</t>
    <phoneticPr fontId="10" type="noConversion"/>
  </si>
  <si>
    <t>시급</t>
    <phoneticPr fontId="10" type="noConversion"/>
  </si>
  <si>
    <t>월지급액</t>
    <phoneticPr fontId="10" type="noConversion"/>
  </si>
  <si>
    <t>강남점</t>
    <phoneticPr fontId="10" type="noConversion"/>
  </si>
  <si>
    <t>이주형</t>
    <phoneticPr fontId="10" type="noConversion"/>
  </si>
  <si>
    <t>대학로점</t>
    <phoneticPr fontId="4" type="noConversion"/>
  </si>
  <si>
    <t>송선우</t>
    <phoneticPr fontId="10" type="noConversion"/>
  </si>
  <si>
    <t>가점등급</t>
    <phoneticPr fontId="4" type="noConversion"/>
  </si>
  <si>
    <t>E</t>
    <phoneticPr fontId="4" type="noConversion"/>
  </si>
  <si>
    <t>D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</si>
  <si>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</si>
  <si>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</si>
  <si>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</si>
  <si>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명동점</t>
    <phoneticPr fontId="4" type="noConversion"/>
  </si>
  <si>
    <t>민채윤</t>
    <phoneticPr fontId="10" type="noConversion"/>
  </si>
  <si>
    <t>강남점</t>
    <phoneticPr fontId="10" type="noConversion"/>
  </si>
  <si>
    <t>장하나</t>
    <phoneticPr fontId="10" type="noConversion"/>
  </si>
  <si>
    <t>공민선</t>
    <phoneticPr fontId="10" type="noConversion"/>
  </si>
  <si>
    <t>대학로점</t>
    <phoneticPr fontId="4" type="noConversion"/>
  </si>
  <si>
    <t>박서은</t>
    <phoneticPr fontId="4" type="noConversion"/>
  </si>
  <si>
    <t>강남점</t>
    <phoneticPr fontId="10" type="noConversion"/>
  </si>
  <si>
    <t>김정우</t>
    <phoneticPr fontId="4" type="noConversion"/>
  </si>
  <si>
    <t>박윤서</t>
    <phoneticPr fontId="4" type="noConversion"/>
  </si>
  <si>
    <t>명동점</t>
    <phoneticPr fontId="4" type="noConversion"/>
  </si>
  <si>
    <t>정현성</t>
    <phoneticPr fontId="4" type="noConversion"/>
  </si>
  <si>
    <t>지점명</t>
    <phoneticPr fontId="10" type="noConversion"/>
  </si>
  <si>
    <t>초과근무시간</t>
    <phoneticPr fontId="10" type="noConversion"/>
  </si>
  <si>
    <t>강남점</t>
    <phoneticPr fontId="4" type="noConversion"/>
  </si>
  <si>
    <t>[표1]</t>
    <phoneticPr fontId="4" type="noConversion"/>
  </si>
  <si>
    <t>민정호</t>
  </si>
  <si>
    <t>한성준</t>
  </si>
  <si>
    <t>김수철</t>
  </si>
  <si>
    <t>오희연</t>
  </si>
  <si>
    <t>민종선</t>
  </si>
  <si>
    <t>박성훈</t>
  </si>
  <si>
    <t>전서윤</t>
  </si>
  <si>
    <t>정혜성</t>
  </si>
  <si>
    <t>윤여운</t>
  </si>
  <si>
    <t>강소라</t>
  </si>
  <si>
    <t>김채연</t>
  </si>
  <si>
    <t>이진희</t>
  </si>
  <si>
    <t>박소율</t>
  </si>
  <si>
    <t>최나영</t>
  </si>
  <si>
    <t>공수지</t>
  </si>
  <si>
    <t xml:space="preserve">[표2] </t>
    <phoneticPr fontId="4" type="noConversion"/>
  </si>
  <si>
    <t>O</t>
    <phoneticPr fontId="10" type="noConversion"/>
  </si>
  <si>
    <t>이동성</t>
    <phoneticPr fontId="4" type="noConversion"/>
  </si>
  <si>
    <t>김정호</t>
    <phoneticPr fontId="4" type="noConversion"/>
  </si>
  <si>
    <t>매출분석</t>
    <phoneticPr fontId="4" type="noConversion"/>
  </si>
  <si>
    <t>동아리 활동 현황</t>
    <phoneticPr fontId="4" type="noConversion"/>
  </si>
  <si>
    <t>대리점명</t>
    <phoneticPr fontId="10" type="noConversion"/>
  </si>
  <si>
    <t>사원명</t>
    <phoneticPr fontId="10" type="noConversion"/>
  </si>
  <si>
    <t>매출금액</t>
    <phoneticPr fontId="10" type="noConversion"/>
  </si>
  <si>
    <t>순위</t>
    <phoneticPr fontId="10" type="noConversion"/>
  </si>
  <si>
    <t>동아리명</t>
    <phoneticPr fontId="4" type="noConversion"/>
  </si>
  <si>
    <t>가입일</t>
    <phoneticPr fontId="4" type="noConversion"/>
  </si>
  <si>
    <t>활동일수</t>
    <phoneticPr fontId="4" type="noConversion"/>
  </si>
  <si>
    <t>서울</t>
    <phoneticPr fontId="4" type="noConversion"/>
  </si>
  <si>
    <t>민지희</t>
    <phoneticPr fontId="4" type="noConversion"/>
  </si>
  <si>
    <t>테니스</t>
    <phoneticPr fontId="4" type="noConversion"/>
  </si>
  <si>
    <t>대전</t>
    <phoneticPr fontId="4" type="noConversion"/>
  </si>
  <si>
    <t>3위</t>
    <phoneticPr fontId="4" type="noConversion"/>
  </si>
  <si>
    <t>성미진</t>
    <phoneticPr fontId="4" type="noConversion"/>
  </si>
  <si>
    <t>배드민턴</t>
    <phoneticPr fontId="4" type="noConversion"/>
  </si>
  <si>
    <t>1위</t>
    <phoneticPr fontId="4" type="noConversion"/>
  </si>
  <si>
    <t>김성훈</t>
    <phoneticPr fontId="4" type="noConversion"/>
  </si>
  <si>
    <t>탁구</t>
    <phoneticPr fontId="4" type="noConversion"/>
  </si>
  <si>
    <t>최민정</t>
    <phoneticPr fontId="4" type="noConversion"/>
  </si>
  <si>
    <t>김창훈</t>
    <phoneticPr fontId="4" type="noConversion"/>
  </si>
  <si>
    <t>부산</t>
    <phoneticPr fontId="4" type="noConversion"/>
  </si>
  <si>
    <t>2위</t>
    <phoneticPr fontId="4" type="noConversion"/>
  </si>
  <si>
    <t>최우성</t>
    <phoneticPr fontId="4" type="noConversion"/>
  </si>
  <si>
    <t>대전점 합계</t>
    <phoneticPr fontId="10" type="noConversion"/>
  </si>
  <si>
    <t>[표3]</t>
    <phoneticPr fontId="4" type="noConversion"/>
  </si>
  <si>
    <t>2학기 성적표</t>
    <phoneticPr fontId="4" type="noConversion"/>
  </si>
  <si>
    <t>[표4]</t>
    <phoneticPr fontId="4" type="noConversion"/>
  </si>
  <si>
    <t>청약가입현황</t>
    <phoneticPr fontId="4" type="noConversion"/>
  </si>
  <si>
    <t>성명</t>
    <phoneticPr fontId="4" type="noConversion"/>
  </si>
  <si>
    <t>청약통장가입기간</t>
    <phoneticPr fontId="4" type="noConversion"/>
  </si>
  <si>
    <t>청약금액</t>
    <phoneticPr fontId="4" type="noConversion"/>
  </si>
  <si>
    <t>결과</t>
    <phoneticPr fontId="4" type="noConversion"/>
  </si>
  <si>
    <t>전연승</t>
    <phoneticPr fontId="4" type="noConversion"/>
  </si>
  <si>
    <t xml:space="preserve">[표2] </t>
    <phoneticPr fontId="4" type="noConversion"/>
  </si>
  <si>
    <t>안전교육 참석 현황</t>
    <phoneticPr fontId="4" type="noConversion"/>
  </si>
  <si>
    <t>참석자명</t>
    <phoneticPr fontId="10" type="noConversion"/>
  </si>
  <si>
    <t>1회차</t>
    <phoneticPr fontId="10" type="noConversion"/>
  </si>
  <si>
    <t>2회차</t>
    <phoneticPr fontId="4" type="noConversion"/>
  </si>
  <si>
    <t>3회차</t>
    <phoneticPr fontId="4" type="noConversion"/>
  </si>
  <si>
    <t>4회차</t>
    <phoneticPr fontId="4" type="noConversion"/>
  </si>
  <si>
    <t>이수여부</t>
    <phoneticPr fontId="10" type="noConversion"/>
  </si>
  <si>
    <t>마영택</t>
    <phoneticPr fontId="4" type="noConversion"/>
  </si>
  <si>
    <t>O</t>
    <phoneticPr fontId="10" type="noConversion"/>
  </si>
  <si>
    <t>전미영</t>
    <phoneticPr fontId="4" type="noConversion"/>
  </si>
  <si>
    <t>장미선</t>
    <phoneticPr fontId="4" type="noConversion"/>
  </si>
  <si>
    <t>[표2]</t>
    <phoneticPr fontId="4" type="noConversion"/>
  </si>
  <si>
    <t>급여현황</t>
    <phoneticPr fontId="4" type="noConversion"/>
  </si>
  <si>
    <t>기본급</t>
    <phoneticPr fontId="4" type="noConversion"/>
  </si>
  <si>
    <t>상여금</t>
    <phoneticPr fontId="10" type="noConversion"/>
  </si>
  <si>
    <t>성별</t>
    <phoneticPr fontId="4" type="noConversion"/>
  </si>
  <si>
    <t>민선아</t>
    <phoneticPr fontId="4" type="noConversion"/>
  </si>
  <si>
    <t>재무팀</t>
    <phoneticPr fontId="4" type="noConversion"/>
  </si>
  <si>
    <t>재무팀</t>
    <phoneticPr fontId="4" type="noConversion"/>
  </si>
  <si>
    <t>선임</t>
    <phoneticPr fontId="4" type="noConversion"/>
  </si>
  <si>
    <t>최민지</t>
    <phoneticPr fontId="4" type="noConversion"/>
  </si>
  <si>
    <t>마케팅팀</t>
    <phoneticPr fontId="4" type="noConversion"/>
  </si>
  <si>
    <t>마케팅팀</t>
    <phoneticPr fontId="4" type="noConversion"/>
  </si>
  <si>
    <t>팀장</t>
    <phoneticPr fontId="4" type="noConversion"/>
  </si>
  <si>
    <t>여</t>
    <phoneticPr fontId="4" type="noConversion"/>
  </si>
  <si>
    <t>여서연</t>
    <phoneticPr fontId="4" type="noConversion"/>
  </si>
  <si>
    <t>홍보팀</t>
    <phoneticPr fontId="4" type="noConversion"/>
  </si>
  <si>
    <t>정민지</t>
    <phoneticPr fontId="4" type="noConversion"/>
  </si>
  <si>
    <t>김성원</t>
    <phoneticPr fontId="4" type="noConversion"/>
  </si>
  <si>
    <t>선임</t>
    <phoneticPr fontId="4" type="noConversion"/>
  </si>
  <si>
    <t>한여선</t>
    <phoneticPr fontId="4" type="noConversion"/>
  </si>
  <si>
    <t>강호성</t>
    <phoneticPr fontId="4" type="noConversion"/>
  </si>
  <si>
    <t>마케팅팀</t>
    <phoneticPr fontId="4" type="noConversion"/>
  </si>
  <si>
    <t>책임</t>
    <phoneticPr fontId="4" type="noConversion"/>
  </si>
  <si>
    <t>김소희</t>
    <phoneticPr fontId="4" type="noConversion"/>
  </si>
  <si>
    <t>성나영</t>
    <phoneticPr fontId="4" type="noConversion"/>
  </si>
  <si>
    <t>이정후</t>
    <phoneticPr fontId="4" type="noConversion"/>
  </si>
  <si>
    <t>남</t>
    <phoneticPr fontId="4" type="noConversion"/>
  </si>
  <si>
    <t>이정훈</t>
    <phoneticPr fontId="4" type="noConversion"/>
  </si>
  <si>
    <t>마케팅팀</t>
    <phoneticPr fontId="4" type="noConversion"/>
  </si>
  <si>
    <t>최인선</t>
    <phoneticPr fontId="4" type="noConversion"/>
  </si>
  <si>
    <t>정호성</t>
    <phoneticPr fontId="4" type="noConversion"/>
  </si>
  <si>
    <t>상여금이 1,300,000원 보다 크면서, 
평균기본급이상인 사원수</t>
    <phoneticPr fontId="10" type="noConversion"/>
  </si>
  <si>
    <t>[표4]</t>
    <phoneticPr fontId="4" type="noConversion"/>
  </si>
  <si>
    <t>실비보험 청구 구비서류</t>
    <phoneticPr fontId="4" type="noConversion"/>
  </si>
  <si>
    <t>기본공제액</t>
    <phoneticPr fontId="4" type="noConversion"/>
  </si>
  <si>
    <t>환자명</t>
    <phoneticPr fontId="4" type="noConversion"/>
  </si>
  <si>
    <t>환자ID</t>
    <phoneticPr fontId="4" type="noConversion"/>
  </si>
  <si>
    <t>공단부담금</t>
    <phoneticPr fontId="4" type="noConversion"/>
  </si>
  <si>
    <t>본인부담금</t>
    <phoneticPr fontId="4" type="noConversion"/>
  </si>
  <si>
    <t>구비서류</t>
    <phoneticPr fontId="4" type="noConversion"/>
  </si>
  <si>
    <t>[표3]</t>
    <phoneticPr fontId="4" type="noConversion"/>
  </si>
  <si>
    <t>택배 요금표</t>
    <phoneticPr fontId="4" type="noConversion"/>
  </si>
  <si>
    <t>최영호</t>
    <phoneticPr fontId="4" type="noConversion"/>
  </si>
  <si>
    <t>C09121</t>
    <phoneticPr fontId="4" type="noConversion"/>
  </si>
  <si>
    <t>수도권</t>
    <phoneticPr fontId="4" type="noConversion"/>
  </si>
  <si>
    <t>타지역</t>
    <phoneticPr fontId="4" type="noConversion"/>
  </si>
  <si>
    <t>제주도</t>
    <phoneticPr fontId="4" type="noConversion"/>
  </si>
  <si>
    <t>민백훈</t>
    <phoneticPr fontId="4" type="noConversion"/>
  </si>
  <si>
    <t>C10122</t>
    <phoneticPr fontId="4" type="noConversion"/>
  </si>
  <si>
    <t>안영미</t>
    <phoneticPr fontId="4" type="noConversion"/>
  </si>
  <si>
    <t>C08231</t>
    <phoneticPr fontId="4" type="noConversion"/>
  </si>
  <si>
    <t>수도권</t>
    <phoneticPr fontId="4" type="noConversion"/>
  </si>
  <si>
    <t>정호환</t>
    <phoneticPr fontId="4" type="noConversion"/>
  </si>
  <si>
    <t>C09873</t>
    <phoneticPr fontId="4" type="noConversion"/>
  </si>
  <si>
    <t>타지역</t>
    <phoneticPr fontId="4" type="noConversion"/>
  </si>
  <si>
    <t>김선영</t>
    <phoneticPr fontId="4" type="noConversion"/>
  </si>
  <si>
    <t>C08620</t>
    <phoneticPr fontId="4" type="noConversion"/>
  </si>
  <si>
    <t>제주도</t>
    <phoneticPr fontId="4" type="noConversion"/>
  </si>
  <si>
    <t>이미선</t>
    <phoneticPr fontId="4" type="noConversion"/>
  </si>
  <si>
    <t>C07320</t>
    <phoneticPr fontId="4" type="noConversion"/>
  </si>
  <si>
    <t>최은수</t>
    <phoneticPr fontId="4" type="noConversion"/>
  </si>
  <si>
    <t>C20003</t>
    <phoneticPr fontId="4" type="noConversion"/>
  </si>
  <si>
    <t>우서연</t>
    <phoneticPr fontId="4" type="noConversion"/>
  </si>
  <si>
    <t>C21921</t>
    <phoneticPr fontId="4" type="noConversion"/>
  </si>
  <si>
    <t>박민준</t>
    <phoneticPr fontId="4" type="noConversion"/>
  </si>
  <si>
    <t>C08201</t>
    <phoneticPr fontId="4" type="noConversion"/>
  </si>
  <si>
    <t>출발지</t>
    <phoneticPr fontId="4" type="noConversion"/>
  </si>
  <si>
    <t>도착지</t>
    <phoneticPr fontId="4" type="noConversion"/>
  </si>
  <si>
    <t>서울</t>
    <phoneticPr fontId="4" type="noConversion"/>
  </si>
  <si>
    <t>타지역</t>
    <phoneticPr fontId="4" type="noConversion"/>
  </si>
  <si>
    <t>인사평가결과</t>
    <phoneticPr fontId="4" type="noConversion"/>
  </si>
  <si>
    <t>사번</t>
    <phoneticPr fontId="4" type="noConversion"/>
  </si>
  <si>
    <t>점수</t>
    <phoneticPr fontId="4" type="noConversion"/>
  </si>
  <si>
    <t>C0702</t>
    <phoneticPr fontId="4" type="noConversion"/>
  </si>
  <si>
    <t>C0703</t>
  </si>
  <si>
    <t>여</t>
    <phoneticPr fontId="4" type="noConversion"/>
  </si>
  <si>
    <t>C0704</t>
  </si>
  <si>
    <t>C0705</t>
  </si>
  <si>
    <t>C0706</t>
  </si>
  <si>
    <t>C0707</t>
  </si>
  <si>
    <t>성별</t>
    <phoneticPr fontId="4" type="noConversion"/>
  </si>
  <si>
    <t>평균</t>
    <phoneticPr fontId="4" type="noConversion"/>
  </si>
  <si>
    <t>C0708</t>
  </si>
  <si>
    <t>C0709</t>
  </si>
  <si>
    <t>C0710</t>
  </si>
  <si>
    <t>C0711</t>
  </si>
  <si>
    <t>1학기 등록현황</t>
    <phoneticPr fontId="4" type="noConversion"/>
  </si>
  <si>
    <t>청소년문학상 수상내역</t>
    <phoneticPr fontId="4" type="noConversion"/>
  </si>
  <si>
    <t>등록번호</t>
    <phoneticPr fontId="4" type="noConversion"/>
  </si>
  <si>
    <t>학생명</t>
    <phoneticPr fontId="10" type="noConversion"/>
  </si>
  <si>
    <t>주민등록번호</t>
    <phoneticPr fontId="10" type="noConversion"/>
  </si>
  <si>
    <t>성별</t>
    <phoneticPr fontId="10" type="noConversion"/>
  </si>
  <si>
    <t>참가자명</t>
    <phoneticPr fontId="4" type="noConversion"/>
  </si>
  <si>
    <t>문장력</t>
    <phoneticPr fontId="4" type="noConversion"/>
  </si>
  <si>
    <t>참신성</t>
    <phoneticPr fontId="4" type="noConversion"/>
  </si>
  <si>
    <t>총점</t>
    <phoneticPr fontId="4" type="noConversion"/>
  </si>
  <si>
    <t>수상내역</t>
    <phoneticPr fontId="4" type="noConversion"/>
  </si>
  <si>
    <t>Y2100201</t>
    <phoneticPr fontId="4" type="noConversion"/>
  </si>
  <si>
    <t>최진영</t>
    <phoneticPr fontId="4" type="noConversion"/>
  </si>
  <si>
    <t>980405-13XXXX</t>
    <phoneticPr fontId="4" type="noConversion"/>
  </si>
  <si>
    <t>인지선</t>
    <phoneticPr fontId="4" type="noConversion"/>
  </si>
  <si>
    <t>Y2100202</t>
  </si>
  <si>
    <t>민호진</t>
    <phoneticPr fontId="4" type="noConversion"/>
  </si>
  <si>
    <t>010612-34XXXX</t>
    <phoneticPr fontId="4" type="noConversion"/>
  </si>
  <si>
    <t>정수현</t>
    <phoneticPr fontId="4" type="noConversion"/>
  </si>
  <si>
    <t>Y2100203</t>
  </si>
  <si>
    <t>박사랑</t>
    <phoneticPr fontId="4" type="noConversion"/>
  </si>
  <si>
    <t>020804-41XXXX</t>
    <phoneticPr fontId="4" type="noConversion"/>
  </si>
  <si>
    <t>박민주</t>
    <phoneticPr fontId="4" type="noConversion"/>
  </si>
  <si>
    <t>순위</t>
    <phoneticPr fontId="4" type="noConversion"/>
  </si>
  <si>
    <t>Y2100204</t>
  </si>
  <si>
    <t>김미영</t>
    <phoneticPr fontId="4" type="noConversion"/>
  </si>
  <si>
    <t>020505-42XXXX</t>
    <phoneticPr fontId="4" type="noConversion"/>
  </si>
  <si>
    <t>최소현</t>
    <phoneticPr fontId="4" type="noConversion"/>
  </si>
  <si>
    <t>대상</t>
    <phoneticPr fontId="4" type="noConversion"/>
  </si>
  <si>
    <t>Y2100205</t>
  </si>
  <si>
    <t>주진수</t>
    <phoneticPr fontId="4" type="noConversion"/>
  </si>
  <si>
    <t>991228-15XXXX</t>
    <phoneticPr fontId="4" type="noConversion"/>
  </si>
  <si>
    <t>연정훈</t>
    <phoneticPr fontId="4" type="noConversion"/>
  </si>
  <si>
    <t>금상</t>
    <phoneticPr fontId="4" type="noConversion"/>
  </si>
  <si>
    <t>Y2100206</t>
  </si>
  <si>
    <t>안수연</t>
    <phoneticPr fontId="4" type="noConversion"/>
  </si>
  <si>
    <t>010130-42XXXX</t>
    <phoneticPr fontId="4" type="noConversion"/>
  </si>
  <si>
    <t>강미소</t>
    <phoneticPr fontId="4" type="noConversion"/>
  </si>
  <si>
    <t>Y2100207</t>
  </si>
  <si>
    <t>강나영</t>
    <phoneticPr fontId="4" type="noConversion"/>
  </si>
  <si>
    <t>980607-21XXXX</t>
    <phoneticPr fontId="4" type="noConversion"/>
  </si>
  <si>
    <t>송소희</t>
    <phoneticPr fontId="4" type="noConversion"/>
  </si>
  <si>
    <t>동상</t>
    <phoneticPr fontId="4" type="noConversion"/>
  </si>
  <si>
    <t>Y2100208</t>
  </si>
  <si>
    <t>이수영</t>
    <phoneticPr fontId="4" type="noConversion"/>
  </si>
  <si>
    <t>011218-42XXXX</t>
    <phoneticPr fontId="4" type="noConversion"/>
  </si>
  <si>
    <t>이정연</t>
    <phoneticPr fontId="4" type="noConversion"/>
  </si>
  <si>
    <t>장려상</t>
    <phoneticPr fontId="4" type="noConversion"/>
  </si>
  <si>
    <t>김선</t>
    <phoneticPr fontId="4" type="noConversion"/>
  </si>
  <si>
    <t>직업체험관 이용현황</t>
    <phoneticPr fontId="4" type="noConversion"/>
  </si>
  <si>
    <t>추석선물세트 주문현황</t>
    <phoneticPr fontId="4" type="noConversion"/>
  </si>
  <si>
    <t>체험일자</t>
    <phoneticPr fontId="4" type="noConversion"/>
  </si>
  <si>
    <t>학생명</t>
    <phoneticPr fontId="4" type="noConversion"/>
  </si>
  <si>
    <t>희망직업</t>
    <phoneticPr fontId="4" type="noConversion"/>
  </si>
  <si>
    <t>근무처</t>
    <phoneticPr fontId="4" type="noConversion"/>
  </si>
  <si>
    <t>체험관 닉네임</t>
    <phoneticPr fontId="4" type="noConversion"/>
  </si>
  <si>
    <t>주문코드</t>
    <phoneticPr fontId="4" type="noConversion"/>
  </si>
  <si>
    <t>주문일자</t>
    <phoneticPr fontId="4" type="noConversion"/>
  </si>
  <si>
    <t>가격</t>
    <phoneticPr fontId="4" type="noConversion"/>
  </si>
  <si>
    <t>세트분류</t>
    <phoneticPr fontId="4" type="noConversion"/>
  </si>
  <si>
    <t>정우진</t>
    <phoneticPr fontId="4" type="noConversion"/>
  </si>
  <si>
    <t>남</t>
    <phoneticPr fontId="4" type="noConversion"/>
  </si>
  <si>
    <t>종로</t>
    <phoneticPr fontId="4" type="noConversion"/>
  </si>
  <si>
    <t>FR0903A</t>
    <phoneticPr fontId="4" type="noConversion"/>
  </si>
  <si>
    <t>최민혁</t>
    <phoneticPr fontId="4" type="noConversion"/>
  </si>
  <si>
    <t>남</t>
    <phoneticPr fontId="4" type="noConversion"/>
  </si>
  <si>
    <t>강남</t>
    <phoneticPr fontId="4" type="noConversion"/>
  </si>
  <si>
    <t>MT0905B</t>
    <phoneticPr fontId="4" type="noConversion"/>
  </si>
  <si>
    <t>정여진</t>
    <phoneticPr fontId="4" type="noConversion"/>
  </si>
  <si>
    <t>여</t>
    <phoneticPr fontId="4" type="noConversion"/>
  </si>
  <si>
    <t>HS0905A</t>
    <phoneticPr fontId="4" type="noConversion"/>
  </si>
  <si>
    <t>공서연</t>
    <phoneticPr fontId="4" type="noConversion"/>
  </si>
  <si>
    <t>울산</t>
    <phoneticPr fontId="4" type="noConversion"/>
  </si>
  <si>
    <t>MT0908C</t>
    <phoneticPr fontId="4" type="noConversion"/>
  </si>
  <si>
    <t>성정훈</t>
    <phoneticPr fontId="4" type="noConversion"/>
  </si>
  <si>
    <t>충주</t>
    <phoneticPr fontId="4" type="noConversion"/>
  </si>
  <si>
    <t>RS0908B</t>
    <phoneticPr fontId="4" type="noConversion"/>
  </si>
  <si>
    <t>김현수</t>
    <phoneticPr fontId="4" type="noConversion"/>
  </si>
  <si>
    <t>송파</t>
    <phoneticPr fontId="4" type="noConversion"/>
  </si>
  <si>
    <t>FR0910C</t>
    <phoneticPr fontId="4" type="noConversion"/>
  </si>
  <si>
    <t>민지우</t>
    <phoneticPr fontId="4" type="noConversion"/>
  </si>
  <si>
    <t>인천</t>
    <phoneticPr fontId="4" type="noConversion"/>
  </si>
  <si>
    <t>FR0910B</t>
    <phoneticPr fontId="4" type="noConversion"/>
  </si>
  <si>
    <t>안정연</t>
    <phoneticPr fontId="4" type="noConversion"/>
  </si>
  <si>
    <t>강서</t>
    <phoneticPr fontId="4" type="noConversion"/>
  </si>
  <si>
    <t>SR0913A</t>
    <phoneticPr fontId="4" type="noConversion"/>
  </si>
  <si>
    <t>서정희</t>
    <phoneticPr fontId="4" type="noConversion"/>
  </si>
  <si>
    <t>여</t>
    <phoneticPr fontId="4" type="noConversion"/>
  </si>
  <si>
    <t>철원</t>
    <phoneticPr fontId="4" type="noConversion"/>
  </si>
  <si>
    <t>이정훈</t>
    <phoneticPr fontId="4" type="noConversion"/>
  </si>
  <si>
    <t>남해</t>
    <phoneticPr fontId="4" type="noConversion"/>
  </si>
  <si>
    <t>[표5]</t>
    <phoneticPr fontId="4" type="noConversion"/>
  </si>
  <si>
    <t>볼링동아리 현황</t>
    <phoneticPr fontId="4" type="noConversion"/>
  </si>
  <si>
    <t>&lt;수준표&gt;</t>
    <phoneticPr fontId="4" type="noConversion"/>
  </si>
  <si>
    <t>학년</t>
    <phoneticPr fontId="4" type="noConversion"/>
  </si>
  <si>
    <t>평균점수</t>
    <phoneticPr fontId="4" type="noConversion"/>
  </si>
  <si>
    <t>수준</t>
    <phoneticPr fontId="4" type="noConversion"/>
  </si>
  <si>
    <t>정우진</t>
    <phoneticPr fontId="4" type="noConversion"/>
  </si>
  <si>
    <t>1학년</t>
    <phoneticPr fontId="4" type="noConversion"/>
  </si>
  <si>
    <t>초보</t>
    <phoneticPr fontId="4" type="noConversion"/>
  </si>
  <si>
    <t>최민혁</t>
    <phoneticPr fontId="4" type="noConversion"/>
  </si>
  <si>
    <t>2학년</t>
    <phoneticPr fontId="4" type="noConversion"/>
  </si>
  <si>
    <t>중급</t>
    <phoneticPr fontId="4" type="noConversion"/>
  </si>
  <si>
    <t>정여진</t>
    <phoneticPr fontId="4" type="noConversion"/>
  </si>
  <si>
    <t>고급</t>
    <phoneticPr fontId="4" type="noConversion"/>
  </si>
  <si>
    <t>공서연</t>
    <phoneticPr fontId="4" type="noConversion"/>
  </si>
  <si>
    <t>1학년</t>
    <phoneticPr fontId="4" type="noConversion"/>
  </si>
  <si>
    <t>2학년</t>
    <phoneticPr fontId="4" type="noConversion"/>
  </si>
  <si>
    <t>학년별 볼링수준</t>
    <phoneticPr fontId="4" type="noConversion"/>
  </si>
  <si>
    <t>김현수</t>
    <phoneticPr fontId="4" type="noConversion"/>
  </si>
  <si>
    <t>평균수준</t>
    <phoneticPr fontId="4" type="noConversion"/>
  </si>
  <si>
    <t>민지우</t>
    <phoneticPr fontId="4" type="noConversion"/>
  </si>
  <si>
    <t>3학년</t>
    <phoneticPr fontId="4" type="noConversion"/>
  </si>
  <si>
    <t>서정희</t>
    <phoneticPr fontId="4" type="noConversion"/>
  </si>
  <si>
    <t>이정훈</t>
    <phoneticPr fontId="4" type="noConversion"/>
  </si>
  <si>
    <t>3학년</t>
    <phoneticPr fontId="4" type="noConversion"/>
  </si>
  <si>
    <t>전인지</t>
    <phoneticPr fontId="4" type="noConversion"/>
  </si>
  <si>
    <t>한혜진</t>
    <phoneticPr fontId="4" type="noConversion"/>
  </si>
  <si>
    <t>권상우</t>
    <phoneticPr fontId="4" type="noConversion"/>
  </si>
  <si>
    <t>[표1]</t>
    <phoneticPr fontId="4" type="noConversion"/>
  </si>
  <si>
    <t>상품코드</t>
    <phoneticPr fontId="4" type="noConversion"/>
  </si>
  <si>
    <t>가격</t>
    <phoneticPr fontId="4" type="noConversion"/>
  </si>
  <si>
    <t>기타</t>
    <phoneticPr fontId="4" type="noConversion"/>
  </si>
  <si>
    <t>220628D</t>
    <phoneticPr fontId="4" type="noConversion"/>
  </si>
  <si>
    <t>독서실 책상</t>
    <phoneticPr fontId="4" type="noConversion"/>
  </si>
  <si>
    <t>E0(친환경)</t>
    <phoneticPr fontId="4" type="noConversion"/>
  </si>
  <si>
    <t>210405B</t>
    <phoneticPr fontId="4" type="noConversion"/>
  </si>
  <si>
    <t>헤이즐 침대</t>
    <phoneticPr fontId="4" type="noConversion"/>
  </si>
  <si>
    <t>E0목재</t>
    <phoneticPr fontId="4" type="noConversion"/>
  </si>
  <si>
    <t>210513S</t>
    <phoneticPr fontId="4" type="noConversion"/>
  </si>
  <si>
    <t>3인 소파</t>
    <phoneticPr fontId="4" type="noConversion"/>
  </si>
  <si>
    <t>패브릭</t>
    <phoneticPr fontId="4" type="noConversion"/>
  </si>
  <si>
    <t>수납형 침대</t>
    <phoneticPr fontId="4" type="noConversion"/>
  </si>
  <si>
    <t>E0(친환경)</t>
    <phoneticPr fontId="4" type="noConversion"/>
  </si>
  <si>
    <t>191230D</t>
    <phoneticPr fontId="4" type="noConversion"/>
  </si>
  <si>
    <t>5단 책상세트</t>
    <phoneticPr fontId="4" type="noConversion"/>
  </si>
  <si>
    <t>201206C</t>
    <phoneticPr fontId="4" type="noConversion"/>
  </si>
  <si>
    <t>알렉스 의자</t>
    <phoneticPr fontId="4" type="noConversion"/>
  </si>
  <si>
    <t>헤드레스트포함</t>
    <phoneticPr fontId="4" type="noConversion"/>
  </si>
  <si>
    <t>그로잉 책상</t>
    <phoneticPr fontId="4" type="noConversion"/>
  </si>
  <si>
    <t>책상단품</t>
    <phoneticPr fontId="4" type="noConversion"/>
  </si>
  <si>
    <t>220312B</t>
    <phoneticPr fontId="4" type="noConversion"/>
  </si>
  <si>
    <t>침대 프레임 SS</t>
    <phoneticPr fontId="4" type="noConversion"/>
  </si>
  <si>
    <t>슬라이딩책장</t>
    <phoneticPr fontId="4" type="noConversion"/>
  </si>
  <si>
    <t>동호회 멤버</t>
    <phoneticPr fontId="4" type="noConversion"/>
  </si>
  <si>
    <t>기타</t>
    <phoneticPr fontId="4" type="noConversion"/>
  </si>
  <si>
    <t>고재경</t>
    <phoneticPr fontId="4" type="noConversion"/>
  </si>
  <si>
    <t>920222-104****</t>
  </si>
  <si>
    <t>구혜란</t>
    <phoneticPr fontId="4" type="noConversion"/>
  </si>
  <si>
    <t>851019-225****</t>
    <phoneticPr fontId="4" type="noConversion"/>
  </si>
  <si>
    <t>김비승</t>
    <phoneticPr fontId="4" type="noConversion"/>
  </si>
  <si>
    <t>991111-222****</t>
    <phoneticPr fontId="4" type="noConversion"/>
  </si>
  <si>
    <t>김상균</t>
    <phoneticPr fontId="4" type="noConversion"/>
  </si>
  <si>
    <t>000105-357****</t>
    <phoneticPr fontId="4" type="noConversion"/>
  </si>
  <si>
    <t>김양미</t>
    <phoneticPr fontId="4" type="noConversion"/>
  </si>
  <si>
    <t>820202-215****</t>
    <phoneticPr fontId="4" type="noConversion"/>
  </si>
  <si>
    <t>김연규</t>
    <phoneticPr fontId="4" type="noConversion"/>
  </si>
  <si>
    <t>970920-179****</t>
    <phoneticPr fontId="4" type="noConversion"/>
  </si>
  <si>
    <t>김영숙</t>
    <phoneticPr fontId="4" type="noConversion"/>
  </si>
  <si>
    <t>011211-465****</t>
    <phoneticPr fontId="4" type="noConversion"/>
  </si>
  <si>
    <t>공익균</t>
    <phoneticPr fontId="4" type="noConversion"/>
  </si>
  <si>
    <t>810409-145****</t>
    <phoneticPr fontId="4" type="noConversion"/>
  </si>
  <si>
    <t>김자윤</t>
    <phoneticPr fontId="4" type="noConversion"/>
  </si>
  <si>
    <t>921121-262****</t>
    <phoneticPr fontId="4" type="noConversion"/>
  </si>
  <si>
    <t>김주현</t>
    <phoneticPr fontId="4" type="noConversion"/>
  </si>
  <si>
    <t>출판일</t>
    <phoneticPr fontId="4" type="noConversion"/>
  </si>
  <si>
    <t>도서명</t>
    <phoneticPr fontId="4" type="noConversion"/>
  </si>
  <si>
    <t>정가</t>
    <phoneticPr fontId="4" type="noConversion"/>
  </si>
  <si>
    <t>판매가</t>
    <phoneticPr fontId="4" type="noConversion"/>
  </si>
  <si>
    <t>완전한 행복</t>
    <phoneticPr fontId="4" type="noConversion"/>
  </si>
  <si>
    <t>달러구트 꿈 백화점</t>
    <phoneticPr fontId="4" type="noConversion"/>
  </si>
  <si>
    <t>부의 인문학</t>
    <phoneticPr fontId="4" type="noConversion"/>
  </si>
  <si>
    <t>미움받을 용기</t>
    <phoneticPr fontId="4" type="noConversion"/>
  </si>
  <si>
    <t>미라클모닝</t>
    <phoneticPr fontId="4" type="noConversion"/>
  </si>
  <si>
    <t>소크라테스 익스프레소</t>
    <phoneticPr fontId="4" type="noConversion"/>
  </si>
  <si>
    <t>미드나잇 라이브러리</t>
    <phoneticPr fontId="4" type="noConversion"/>
  </si>
  <si>
    <t>기분이 태도가 되지 않게</t>
    <phoneticPr fontId="4" type="noConversion"/>
  </si>
  <si>
    <t>사피엔스</t>
    <phoneticPr fontId="4" type="noConversion"/>
  </si>
  <si>
    <t>이기적 유전자</t>
    <phoneticPr fontId="4" type="noConversion"/>
  </si>
  <si>
    <t>&lt;할인율표&gt;</t>
    <phoneticPr fontId="4" type="noConversion"/>
  </si>
  <si>
    <t>출판
연도</t>
    <phoneticPr fontId="4" type="noConversion"/>
  </si>
  <si>
    <t>할인율</t>
    <phoneticPr fontId="4" type="noConversion"/>
  </si>
  <si>
    <t>공항코드(공항명)</t>
    <phoneticPr fontId="4" type="noConversion"/>
  </si>
  <si>
    <t>seoul</t>
    <phoneticPr fontId="4" type="noConversion"/>
  </si>
  <si>
    <t>busan</t>
    <phoneticPr fontId="4" type="noConversion"/>
  </si>
  <si>
    <t>ulsan</t>
    <phoneticPr fontId="4" type="noConversion"/>
  </si>
  <si>
    <t>incheon</t>
    <phoneticPr fontId="4" type="noConversion"/>
  </si>
  <si>
    <t>daejeon</t>
    <phoneticPr fontId="4" type="noConversion"/>
  </si>
  <si>
    <t>seoul</t>
    <phoneticPr fontId="4" type="noConversion"/>
  </si>
  <si>
    <t>incheon</t>
    <phoneticPr fontId="4" type="noConversion"/>
  </si>
  <si>
    <t>busan</t>
    <phoneticPr fontId="4" type="noConversion"/>
  </si>
  <si>
    <t>테니스</t>
    <phoneticPr fontId="4" type="noConversion"/>
  </si>
  <si>
    <t>이수현</t>
    <phoneticPr fontId="4" type="noConversion"/>
  </si>
  <si>
    <t>김광림</t>
    <phoneticPr fontId="4" type="noConversion"/>
  </si>
  <si>
    <t>최미정</t>
    <phoneticPr fontId="4" type="noConversion"/>
  </si>
  <si>
    <t>탁구</t>
    <phoneticPr fontId="4" type="noConversion"/>
  </si>
  <si>
    <t>배드민턴</t>
    <phoneticPr fontId="4" type="noConversion"/>
  </si>
  <si>
    <t>안진성</t>
    <phoneticPr fontId="4" type="noConversion"/>
  </si>
  <si>
    <t>기소영</t>
    <phoneticPr fontId="4" type="noConversion"/>
  </si>
  <si>
    <t>&lt;수상내역 표&gt;</t>
    <phoneticPr fontId="4" type="noConversion"/>
  </si>
  <si>
    <t xml:space="preserve">  chef</t>
    <phoneticPr fontId="4" type="noConversion"/>
  </si>
  <si>
    <t xml:space="preserve">dancer   </t>
    <phoneticPr fontId="4" type="noConversion"/>
  </si>
  <si>
    <t xml:space="preserve">  doctor</t>
    <phoneticPr fontId="4" type="noConversion"/>
  </si>
  <si>
    <t xml:space="preserve">engineer  </t>
    <phoneticPr fontId="4" type="noConversion"/>
  </si>
  <si>
    <t xml:space="preserve">  farmer</t>
    <phoneticPr fontId="4" type="noConversion"/>
  </si>
  <si>
    <t xml:space="preserve">  rider</t>
    <phoneticPr fontId="4" type="noConversion"/>
  </si>
  <si>
    <t xml:space="preserve">  nurse</t>
    <phoneticPr fontId="4" type="noConversion"/>
  </si>
  <si>
    <t xml:space="preserve">teacher   </t>
    <phoneticPr fontId="4" type="noConversion"/>
  </si>
  <si>
    <t xml:space="preserve">soldier   </t>
    <phoneticPr fontId="4" type="noConversion"/>
  </si>
  <si>
    <t xml:space="preserve">  fisher  </t>
    <phoneticPr fontId="4" type="noConversion"/>
  </si>
  <si>
    <t>MV-501</t>
  </si>
  <si>
    <t>MV-502</t>
  </si>
  <si>
    <t>MV-503</t>
  </si>
  <si>
    <t>MV-504</t>
  </si>
  <si>
    <t>MV-505</t>
  </si>
  <si>
    <t>MV-506</t>
  </si>
  <si>
    <t>MV-507</t>
  </si>
  <si>
    <t>MV-508</t>
  </si>
  <si>
    <t>MV-509</t>
  </si>
  <si>
    <t>MV-510</t>
  </si>
  <si>
    <t>[표1]</t>
    <phoneticPr fontId="4" type="noConversion"/>
  </si>
  <si>
    <t>과목</t>
    <phoneticPr fontId="4" type="noConversion"/>
  </si>
  <si>
    <t>디자인케이크</t>
    <phoneticPr fontId="4" type="noConversion"/>
  </si>
  <si>
    <t>건강쿠키</t>
    <phoneticPr fontId="4" type="noConversion"/>
  </si>
  <si>
    <t>혼밥요리</t>
    <phoneticPr fontId="4" type="noConversion"/>
  </si>
  <si>
    <t>쌀베이킹</t>
    <phoneticPr fontId="4" type="noConversion"/>
  </si>
  <si>
    <t>나만의커피</t>
    <phoneticPr fontId="4" type="noConversion"/>
  </si>
  <si>
    <t>매일반찬</t>
    <phoneticPr fontId="4" type="noConversion"/>
  </si>
  <si>
    <t>홈샌드위치</t>
    <phoneticPr fontId="4" type="noConversion"/>
  </si>
  <si>
    <t>홈칵테일</t>
    <phoneticPr fontId="4" type="noConversion"/>
  </si>
  <si>
    <t>분류</t>
    <phoneticPr fontId="4" type="noConversion"/>
  </si>
  <si>
    <t>제과제빵</t>
    <phoneticPr fontId="4" type="noConversion"/>
  </si>
  <si>
    <t>제과제빵</t>
    <phoneticPr fontId="4" type="noConversion"/>
  </si>
  <si>
    <t>한식</t>
    <phoneticPr fontId="4" type="noConversion"/>
  </si>
  <si>
    <t>제과제빵</t>
    <phoneticPr fontId="4" type="noConversion"/>
  </si>
  <si>
    <t>음료</t>
    <phoneticPr fontId="4" type="noConversion"/>
  </si>
  <si>
    <t>한식</t>
    <phoneticPr fontId="4" type="noConversion"/>
  </si>
  <si>
    <t>음료</t>
    <phoneticPr fontId="4" type="noConversion"/>
  </si>
  <si>
    <t>결제방법</t>
    <phoneticPr fontId="4" type="noConversion"/>
  </si>
  <si>
    <t>카드</t>
    <phoneticPr fontId="4" type="noConversion"/>
  </si>
  <si>
    <t>현금</t>
    <phoneticPr fontId="4" type="noConversion"/>
  </si>
  <si>
    <t>카드</t>
    <phoneticPr fontId="4" type="noConversion"/>
  </si>
  <si>
    <t>카드</t>
    <phoneticPr fontId="4" type="noConversion"/>
  </si>
  <si>
    <t>현금</t>
    <phoneticPr fontId="4" type="noConversion"/>
  </si>
  <si>
    <t>카드</t>
    <phoneticPr fontId="4" type="noConversion"/>
  </si>
  <si>
    <t>온라인 요리 수강 현황</t>
    <phoneticPr fontId="4" type="noConversion"/>
  </si>
  <si>
    <r>
      <t>제과제빵 카드</t>
    </r>
    <r>
      <rPr>
        <sz val="11"/>
        <color theme="1"/>
        <rFont val="맑은 고딕"/>
        <family val="2"/>
        <charset val="129"/>
        <scheme val="minor"/>
      </rPr>
      <t xml:space="preserve"> 수강료 합계</t>
    </r>
    <phoneticPr fontId="4" type="noConversion"/>
  </si>
  <si>
    <t>총수강료</t>
    <phoneticPr fontId="4" type="noConversion"/>
  </si>
  <si>
    <t>22년</t>
    <phoneticPr fontId="4" type="noConversion"/>
  </si>
  <si>
    <t>판매량</t>
    <phoneticPr fontId="4" type="noConversion"/>
  </si>
  <si>
    <t>곶감 세트</t>
    <phoneticPr fontId="4" type="noConversion"/>
  </si>
  <si>
    <t>한과 세트</t>
    <phoneticPr fontId="4" type="noConversion"/>
  </si>
  <si>
    <t>멸치 세트</t>
    <phoneticPr fontId="4" type="noConversion"/>
  </si>
  <si>
    <t>조미김 세트</t>
    <phoneticPr fontId="4" type="noConversion"/>
  </si>
  <si>
    <t>사과/배 세트</t>
    <phoneticPr fontId="4" type="noConversion"/>
  </si>
  <si>
    <t>굴비 세트</t>
    <phoneticPr fontId="4" type="noConversion"/>
  </si>
  <si>
    <t>갈비 세트</t>
    <phoneticPr fontId="4" type="noConversion"/>
  </si>
  <si>
    <t>판매수량</t>
    <phoneticPr fontId="4" type="noConversion"/>
  </si>
  <si>
    <t>통조림 비율</t>
    <phoneticPr fontId="4" type="noConversion"/>
  </si>
  <si>
    <t>닭가슴살 캔</t>
    <phoneticPr fontId="4" type="noConversion"/>
  </si>
  <si>
    <t>통조림</t>
    <phoneticPr fontId="4" type="noConversion"/>
  </si>
  <si>
    <t>굿프랜드</t>
    <phoneticPr fontId="4" type="noConversion"/>
  </si>
  <si>
    <t>헬로도기</t>
    <phoneticPr fontId="4" type="noConversion"/>
  </si>
  <si>
    <t>덴탈라이프</t>
    <phoneticPr fontId="4" type="noConversion"/>
  </si>
  <si>
    <t>페디그리 캔</t>
    <phoneticPr fontId="4" type="noConversion"/>
  </si>
  <si>
    <t>통조림</t>
    <phoneticPr fontId="4" type="noConversion"/>
  </si>
  <si>
    <t>퍼피프랜드</t>
    <phoneticPr fontId="4" type="noConversion"/>
  </si>
  <si>
    <t>육포</t>
    <phoneticPr fontId="4" type="noConversion"/>
  </si>
  <si>
    <t>말티즈 펫육</t>
    <phoneticPr fontId="4" type="noConversion"/>
  </si>
  <si>
    <t>개껌</t>
    <phoneticPr fontId="4" type="noConversion"/>
  </si>
  <si>
    <t>우유껌</t>
    <phoneticPr fontId="4" type="noConversion"/>
  </si>
  <si>
    <t>개껌</t>
    <phoneticPr fontId="4" type="noConversion"/>
  </si>
  <si>
    <t>비스킷</t>
    <phoneticPr fontId="4" type="noConversion"/>
  </si>
  <si>
    <t>연근오리칩</t>
    <phoneticPr fontId="4" type="noConversion"/>
  </si>
  <si>
    <t>칼슘본 사사미</t>
    <phoneticPr fontId="4" type="noConversion"/>
  </si>
  <si>
    <t>반찬코드</t>
    <phoneticPr fontId="4" type="noConversion"/>
  </si>
  <si>
    <t>5</t>
    <phoneticPr fontId="4" type="noConversion"/>
  </si>
  <si>
    <t>6</t>
    <phoneticPr fontId="4" type="noConversion"/>
  </si>
  <si>
    <t>8</t>
    <phoneticPr fontId="4" type="noConversion"/>
  </si>
  <si>
    <t>분류</t>
    <phoneticPr fontId="4" type="noConversion"/>
  </si>
  <si>
    <t>김치반찬</t>
    <phoneticPr fontId="4" type="noConversion"/>
  </si>
  <si>
    <t>밑반찬</t>
    <phoneticPr fontId="4" type="noConversion"/>
  </si>
  <si>
    <t>국/찌개</t>
    <phoneticPr fontId="4" type="noConversion"/>
  </si>
  <si>
    <t>찜요리</t>
    <phoneticPr fontId="4" type="noConversion"/>
  </si>
  <si>
    <t>조림요리</t>
    <phoneticPr fontId="4" type="noConversion"/>
  </si>
  <si>
    <t>무침요리</t>
    <phoneticPr fontId="4" type="noConversion"/>
  </si>
  <si>
    <t>죽</t>
    <phoneticPr fontId="4" type="noConversion"/>
  </si>
  <si>
    <t>나물</t>
    <phoneticPr fontId="4" type="noConversion"/>
  </si>
  <si>
    <t>구분</t>
    <phoneticPr fontId="4" type="noConversion"/>
  </si>
  <si>
    <t>꽃상자</t>
    <phoneticPr fontId="4" type="noConversion"/>
  </si>
  <si>
    <t>화분</t>
    <phoneticPr fontId="4" type="noConversion"/>
  </si>
  <si>
    <t>분재</t>
    <phoneticPr fontId="4" type="noConversion"/>
  </si>
  <si>
    <t>주문자</t>
    <phoneticPr fontId="4" type="noConversion"/>
  </si>
  <si>
    <t>상품명</t>
    <phoneticPr fontId="4" type="noConversion"/>
  </si>
  <si>
    <t>순간</t>
    <phoneticPr fontId="4" type="noConversion"/>
  </si>
  <si>
    <t>비앙카</t>
    <phoneticPr fontId="4" type="noConversion"/>
  </si>
  <si>
    <t>러브 블라썸</t>
    <phoneticPr fontId="4" type="noConversion"/>
  </si>
  <si>
    <t>하이라이트</t>
    <phoneticPr fontId="4" type="noConversion"/>
  </si>
  <si>
    <t>사랑데이</t>
    <phoneticPr fontId="4" type="noConversion"/>
  </si>
  <si>
    <t>첫사랑</t>
    <phoneticPr fontId="4" type="noConversion"/>
  </si>
  <si>
    <t>빛이나</t>
    <phoneticPr fontId="4" type="noConversion"/>
  </si>
  <si>
    <t>비올레타</t>
    <phoneticPr fontId="4" type="noConversion"/>
  </si>
  <si>
    <t>중간평가</t>
    <phoneticPr fontId="4" type="noConversion"/>
  </si>
  <si>
    <t>기말평가</t>
    <phoneticPr fontId="4" type="noConversion"/>
  </si>
  <si>
    <t>출석점수</t>
    <phoneticPr fontId="4" type="noConversion"/>
  </si>
  <si>
    <t>1학기 평가결과</t>
    <phoneticPr fontId="4" type="noConversion"/>
  </si>
  <si>
    <t>학과코드</t>
    <phoneticPr fontId="4" type="noConversion"/>
  </si>
  <si>
    <t>T1</t>
  </si>
  <si>
    <t>T2</t>
  </si>
  <si>
    <t>S2</t>
  </si>
  <si>
    <t>S1</t>
  </si>
  <si>
    <t>D2</t>
  </si>
  <si>
    <t>성명</t>
    <phoneticPr fontId="10" type="noConversion"/>
  </si>
  <si>
    <t>오민수</t>
    <phoneticPr fontId="10" type="noConversion"/>
  </si>
  <si>
    <t>정지영</t>
    <phoneticPr fontId="10" type="noConversion"/>
  </si>
  <si>
    <t>남궁연</t>
    <phoneticPr fontId="10" type="noConversion"/>
  </si>
  <si>
    <t>백석희</t>
    <phoneticPr fontId="10" type="noConversion"/>
  </si>
  <si>
    <t>서은혁</t>
    <phoneticPr fontId="10" type="noConversion"/>
  </si>
  <si>
    <t>강이수</t>
    <phoneticPr fontId="10" type="noConversion"/>
  </si>
  <si>
    <t>신경숙</t>
    <phoneticPr fontId="10" type="noConversion"/>
  </si>
  <si>
    <t>이문영</t>
    <phoneticPr fontId="10" type="noConversion"/>
  </si>
  <si>
    <t>상품코드</t>
    <phoneticPr fontId="4" type="noConversion"/>
  </si>
  <si>
    <t>구분</t>
    <phoneticPr fontId="4" type="noConversion"/>
  </si>
  <si>
    <t>&lt;구분표&gt;</t>
    <phoneticPr fontId="4" type="noConversion"/>
  </si>
  <si>
    <t>[표2]</t>
    <phoneticPr fontId="4" type="noConversion"/>
  </si>
  <si>
    <t>[표3]</t>
    <phoneticPr fontId="4" type="noConversion"/>
  </si>
  <si>
    <t>[표4]</t>
    <phoneticPr fontId="4" type="noConversion"/>
  </si>
  <si>
    <t>[표5]</t>
    <phoneticPr fontId="4" type="noConversion"/>
  </si>
  <si>
    <t>&lt;코드별 실습요일&gt;</t>
    <phoneticPr fontId="4" type="noConversion"/>
  </si>
  <si>
    <t>실습요일</t>
    <phoneticPr fontId="4" type="noConversion"/>
  </si>
  <si>
    <t>반찬 만들기 실습 일정</t>
    <phoneticPr fontId="4" type="noConversion"/>
  </si>
  <si>
    <t>꽃배달 주문현황</t>
    <phoneticPr fontId="4" type="noConversion"/>
  </si>
  <si>
    <t>가구제품 구매등록 현황</t>
    <phoneticPr fontId="4" type="noConversion"/>
  </si>
  <si>
    <t>제품코드</t>
    <phoneticPr fontId="4" type="noConversion"/>
  </si>
  <si>
    <t>가구명</t>
    <phoneticPr fontId="4" type="noConversion"/>
  </si>
  <si>
    <t>구매등록일</t>
    <phoneticPr fontId="4" type="noConversion"/>
  </si>
  <si>
    <t>한가위 선물세트 판매현황</t>
    <phoneticPr fontId="4" type="noConversion"/>
  </si>
  <si>
    <t>선물세트명</t>
    <phoneticPr fontId="4" type="noConversion"/>
  </si>
  <si>
    <t>반려견 간식 판매현황</t>
    <phoneticPr fontId="4" type="noConversion"/>
  </si>
  <si>
    <t>간식명</t>
    <phoneticPr fontId="4" type="noConversion"/>
  </si>
  <si>
    <t>도서 할인 가격</t>
    <phoneticPr fontId="4" type="noConversion"/>
  </si>
  <si>
    <t>[표5]</t>
    <phoneticPr fontId="4" type="noConversion"/>
  </si>
  <si>
    <t>사무실 근무현황</t>
    <phoneticPr fontId="4" type="noConversion"/>
  </si>
  <si>
    <t>모의고사 성적표</t>
    <phoneticPr fontId="4" type="noConversion"/>
  </si>
  <si>
    <t>사원명</t>
    <phoneticPr fontId="4" type="noConversion"/>
  </si>
  <si>
    <t>결근</t>
    <phoneticPr fontId="4" type="noConversion"/>
  </si>
  <si>
    <t>영어</t>
    <phoneticPr fontId="4" type="noConversion"/>
  </si>
  <si>
    <t>수학</t>
    <phoneticPr fontId="4" type="noConversion"/>
  </si>
  <si>
    <t>국어</t>
    <phoneticPr fontId="4" type="noConversion"/>
  </si>
  <si>
    <t>평균</t>
    <phoneticPr fontId="4" type="noConversion"/>
  </si>
  <si>
    <t>박성령</t>
    <phoneticPr fontId="4" type="noConversion"/>
  </si>
  <si>
    <t>전성훈</t>
    <phoneticPr fontId="4" type="noConversion"/>
  </si>
  <si>
    <t>지우진</t>
    <phoneticPr fontId="4" type="noConversion"/>
  </si>
  <si>
    <t>민서윤</t>
    <phoneticPr fontId="4" type="noConversion"/>
  </si>
  <si>
    <t>민서라</t>
    <phoneticPr fontId="4" type="noConversion"/>
  </si>
  <si>
    <t>강한나</t>
    <phoneticPr fontId="4" type="noConversion"/>
  </si>
  <si>
    <t>정아영</t>
    <phoneticPr fontId="4" type="noConversion"/>
  </si>
  <si>
    <t>정채희</t>
    <phoneticPr fontId="4" type="noConversion"/>
  </si>
  <si>
    <t>여</t>
    <phoneticPr fontId="4" type="noConversion"/>
  </si>
  <si>
    <t>안영재</t>
    <phoneticPr fontId="4" type="noConversion"/>
  </si>
  <si>
    <t>이중환</t>
    <phoneticPr fontId="4" type="noConversion"/>
  </si>
  <si>
    <t>남</t>
    <phoneticPr fontId="4" type="noConversion"/>
  </si>
  <si>
    <t>이석훈</t>
    <phoneticPr fontId="4" type="noConversion"/>
  </si>
  <si>
    <t>김선영</t>
    <phoneticPr fontId="4" type="noConversion"/>
  </si>
  <si>
    <t>김우희</t>
    <phoneticPr fontId="4" type="noConversion"/>
  </si>
  <si>
    <t>이서연</t>
    <phoneticPr fontId="4" type="noConversion"/>
  </si>
  <si>
    <t>박초은</t>
    <phoneticPr fontId="4" type="noConversion"/>
  </si>
  <si>
    <t>박종훈</t>
    <phoneticPr fontId="4" type="noConversion"/>
  </si>
  <si>
    <t>성미령</t>
    <phoneticPr fontId="4" type="noConversion"/>
  </si>
  <si>
    <t>최희정</t>
    <phoneticPr fontId="4" type="noConversion"/>
  </si>
  <si>
    <t>최성훈</t>
    <phoneticPr fontId="4" type="noConversion"/>
  </si>
  <si>
    <t>[표3]</t>
    <phoneticPr fontId="4" type="noConversion"/>
  </si>
  <si>
    <t>직원 근무시간 집계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</si>
  <si>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</t>
    </r>
    <phoneticPr fontId="4" type="noConversion"/>
  </si>
  <si>
    <r>
      <t xml:space="preserve">가전제품 </t>
    </r>
    <r>
      <rPr>
        <b/>
        <sz val="11"/>
        <rFont val="맑은 고딕"/>
        <family val="3"/>
        <charset val="129"/>
        <scheme val="minor"/>
      </rPr>
      <t>판매현황</t>
    </r>
    <phoneticPr fontId="4" type="noConversion"/>
  </si>
  <si>
    <r>
      <t>(단위:천원</t>
    </r>
    <r>
      <rPr>
        <sz val="11"/>
        <color theme="1"/>
        <rFont val="맑은 고딕"/>
        <family val="3"/>
        <charset val="129"/>
        <scheme val="minor"/>
      </rPr>
      <t>)</t>
    </r>
    <phoneticPr fontId="10" type="noConversion"/>
  </si>
  <si>
    <t>근무시간</t>
    <phoneticPr fontId="10" type="noConversion"/>
  </si>
  <si>
    <t>초과근무시간</t>
    <phoneticPr fontId="10" type="noConversion"/>
  </si>
  <si>
    <t>초과근무누적합계</t>
    <phoneticPr fontId="10" type="noConversion"/>
  </si>
  <si>
    <t>제품코드</t>
    <phoneticPr fontId="10" type="noConversion"/>
  </si>
  <si>
    <t>제품명</t>
    <phoneticPr fontId="10" type="noConversion"/>
  </si>
  <si>
    <t>판매금액</t>
    <phoneticPr fontId="10" type="noConversion"/>
  </si>
  <si>
    <t>&lt;제품 단가표&gt;</t>
    <phoneticPr fontId="10" type="noConversion"/>
  </si>
  <si>
    <t>WAS-20</t>
    <phoneticPr fontId="4" type="noConversion"/>
  </si>
  <si>
    <t>세탁기A</t>
    <phoneticPr fontId="4" type="noConversion"/>
  </si>
  <si>
    <t>제품번호</t>
    <phoneticPr fontId="10" type="noConversion"/>
  </si>
  <si>
    <t>단가</t>
    <phoneticPr fontId="10" type="noConversion"/>
  </si>
  <si>
    <t>DRY-20</t>
    <phoneticPr fontId="4" type="noConversion"/>
  </si>
  <si>
    <t>건조기B</t>
  </si>
  <si>
    <t>WAS-A</t>
    <phoneticPr fontId="4" type="noConversion"/>
  </si>
  <si>
    <t>WSM-15</t>
    <phoneticPr fontId="4" type="noConversion"/>
  </si>
  <si>
    <t>세탁기C</t>
  </si>
  <si>
    <t>DRY-B</t>
    <phoneticPr fontId="4" type="noConversion"/>
  </si>
  <si>
    <t>WAS-30</t>
    <phoneticPr fontId="4" type="noConversion"/>
  </si>
  <si>
    <t>세탁기A</t>
  </si>
  <si>
    <t>WSM-C</t>
    <phoneticPr fontId="4" type="noConversion"/>
  </si>
  <si>
    <t>WSM-25</t>
    <phoneticPr fontId="4" type="noConversion"/>
  </si>
  <si>
    <t>DRY-40</t>
    <phoneticPr fontId="4" type="noConversion"/>
  </si>
  <si>
    <t>WAS-40</t>
    <phoneticPr fontId="4" type="noConversion"/>
  </si>
  <si>
    <t>[표5]</t>
    <phoneticPr fontId="4" type="noConversion"/>
  </si>
  <si>
    <t>신입사원 연수평가결과</t>
    <phoneticPr fontId="4" type="noConversion"/>
  </si>
  <si>
    <t>사원명</t>
    <phoneticPr fontId="4" type="noConversion"/>
  </si>
  <si>
    <t>연수점수</t>
    <phoneticPr fontId="4" type="noConversion"/>
  </si>
  <si>
    <t>평가등급</t>
    <phoneticPr fontId="4" type="noConversion"/>
  </si>
  <si>
    <t>소속팀평가</t>
    <phoneticPr fontId="4" type="noConversion"/>
  </si>
  <si>
    <t>총점</t>
    <phoneticPr fontId="4" type="noConversion"/>
  </si>
  <si>
    <t>&lt;가산비율표&gt;</t>
    <phoneticPr fontId="4" type="noConversion"/>
  </si>
  <si>
    <t>전수민</t>
    <phoneticPr fontId="4" type="noConversion"/>
  </si>
  <si>
    <t>A</t>
    <phoneticPr fontId="4" type="noConversion"/>
  </si>
  <si>
    <t>인사팀=15점</t>
    <phoneticPr fontId="4" type="noConversion"/>
  </si>
  <si>
    <t>B</t>
    <phoneticPr fontId="4" type="noConversion"/>
  </si>
  <si>
    <t>C</t>
    <phoneticPr fontId="4" type="noConversion"/>
  </si>
  <si>
    <t>D</t>
    <phoneticPr fontId="4" type="noConversion"/>
  </si>
  <si>
    <t>이규진</t>
    <phoneticPr fontId="4" type="noConversion"/>
  </si>
  <si>
    <t>영업팀=10점</t>
    <phoneticPr fontId="4" type="noConversion"/>
  </si>
  <si>
    <t>가산비율</t>
    <phoneticPr fontId="4" type="noConversion"/>
  </si>
  <si>
    <t>임지호</t>
    <phoneticPr fontId="4" type="noConversion"/>
  </si>
  <si>
    <t>개발팀=20점</t>
    <phoneticPr fontId="4" type="noConversion"/>
  </si>
  <si>
    <t>서민준</t>
    <phoneticPr fontId="4" type="noConversion"/>
  </si>
  <si>
    <t>고우람</t>
    <phoneticPr fontId="4" type="noConversion"/>
  </si>
  <si>
    <t>민설현</t>
    <phoneticPr fontId="4" type="noConversion"/>
  </si>
  <si>
    <t>B</t>
  </si>
  <si>
    <t>최중호</t>
    <phoneticPr fontId="4" type="noConversion"/>
  </si>
  <si>
    <t>박정환</t>
    <phoneticPr fontId="4" type="noConversion"/>
  </si>
  <si>
    <t>김민지</t>
    <phoneticPr fontId="4" type="noConversion"/>
  </si>
  <si>
    <t>남학생 최고-최저 평균차이</t>
    <phoneticPr fontId="4" type="noConversion"/>
  </si>
  <si>
    <t>근무일</t>
    <phoneticPr fontId="10" type="noConversion"/>
  </si>
  <si>
    <t>2023년</t>
    <phoneticPr fontId="4" type="noConversion"/>
  </si>
  <si>
    <t>2024년</t>
    <phoneticPr fontId="4" type="noConversion"/>
  </si>
  <si>
    <t>23년</t>
    <phoneticPr fontId="4" type="noConversion"/>
  </si>
  <si>
    <t>24년</t>
    <phoneticPr fontId="4" type="noConversion"/>
  </si>
  <si>
    <t>230122B</t>
  </si>
  <si>
    <t>241210D</t>
  </si>
  <si>
    <t>241223D</t>
  </si>
  <si>
    <t>가장 빠른 기록</t>
    <phoneticPr fontId="4" type="noConversion"/>
  </si>
  <si>
    <t>자동차 주행 기록</t>
    <phoneticPr fontId="4" type="noConversion"/>
  </si>
  <si>
    <t>소속</t>
    <phoneticPr fontId="4" type="noConversion"/>
  </si>
  <si>
    <t>출발시간</t>
    <phoneticPr fontId="4" type="noConversion"/>
  </si>
  <si>
    <t>도착시간</t>
    <phoneticPr fontId="4" type="noConversion"/>
  </si>
  <si>
    <t>주행기록</t>
    <phoneticPr fontId="4" type="noConversion"/>
  </si>
  <si>
    <t>강남자동차</t>
    <phoneticPr fontId="4" type="noConversion"/>
  </si>
  <si>
    <t>강동마스터</t>
    <phoneticPr fontId="4" type="noConversion"/>
  </si>
  <si>
    <t>강북자동차</t>
    <phoneticPr fontId="4" type="noConversion"/>
  </si>
  <si>
    <t>서초마스터</t>
    <phoneticPr fontId="4" type="noConversion"/>
  </si>
  <si>
    <t>사당자동차</t>
    <phoneticPr fontId="4" type="noConversion"/>
  </si>
  <si>
    <t>노원마스터</t>
    <phoneticPr fontId="4" type="noConversion"/>
  </si>
  <si>
    <t>용산자동차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</si>
</sst>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mm&quot;월&quot;\ dd&quot;일&quot;"/>
    <numFmt numFmtId="180" formatCode="_-* #,##0.0_-;\-* #,##0.0_-;_-* &quot;-&quot;?_-;_-@_-"/>
    <numFmt numFmtId="181" formatCode="h&quot;시&quot;&quot;간&quot;mm&quot;분&quot;"/>
    <numFmt numFmtId="182" formatCode="0.0"/>
    <numFmt numFmtId="183" formatCode="0\ &quot;미&quot;&quot;만&quot;"/>
    <numFmt numFmtId="184" formatCode="0\ &quot;이&quot;&quot;상&quot;"/>
    <numFmt numFmtId="185" formatCode="#&quot;년&quot;\ &quot;미&quot;&quot;만&quot;"/>
    <numFmt numFmtId="186" formatCode="#&quot;년&quot;\ &quot;이&quot;&quot;상&quot;"/>
    <numFmt numFmtId="187" formatCode="#,##0_);[Red]\(#,##0\)"/>
    <numFmt numFmtId="188" formatCode="#,##0_ "/>
    <numFmt numFmtId="189" formatCode="_-* #,##0.00_-;\-* #,##0.00_-;_-* &quot;-&quot;_-;_-@_-"/>
    <numFmt numFmtId="190" formatCode="h:mm:ss;@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돋움"/>
      <family val="2"/>
      <charset val="129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1" fillId="0" borderId="0"/>
    <xf numFmtId="0" fontId="1" fillId="0" borderId="0">
      <alignment vertical="center"/>
    </xf>
    <xf numFmtId="0" fontId="13" fillId="0" borderId="0">
      <alignment vertical="center"/>
    </xf>
    <xf numFmtId="0" fontId="6" fillId="0" borderId="0"/>
    <xf numFmtId="0" fontId="7" fillId="0" borderId="0">
      <alignment vertical="center"/>
    </xf>
  </cellStyleXfs>
  <cellXfs count="223">
    <xf numFmtId="0" fontId="0" fillId="0" borderId="0" xfId="0">
      <alignment vertical="center"/>
    </xf>
    <xf numFmtId="0" fontId="3" fillId="0" borderId="1" xfId="3" applyFont="1" applyBorder="1" applyAlignment="1">
      <alignment horizontal="center" vertical="center"/>
    </xf>
    <xf numFmtId="14" fontId="3" fillId="0" borderId="1" xfId="3" applyNumberFormat="1" applyFont="1" applyBorder="1" applyAlignment="1">
      <alignment horizontal="center" vertical="center"/>
    </xf>
    <xf numFmtId="0" fontId="3" fillId="0" borderId="1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/>
    </xf>
    <xf numFmtId="0" fontId="3" fillId="0" borderId="0" xfId="3" applyFont="1">
      <alignment vertical="center"/>
    </xf>
    <xf numFmtId="0" fontId="5" fillId="0" borderId="0" xfId="3" applyFont="1">
      <alignment vertical="center"/>
    </xf>
    <xf numFmtId="0" fontId="3" fillId="0" borderId="0" xfId="3" applyFont="1" applyAlignment="1">
      <alignment horizontal="right" vertical="center"/>
    </xf>
    <xf numFmtId="0" fontId="5" fillId="0" borderId="1" xfId="3" applyNumberFormat="1" applyFont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0" xfId="3" applyNumberFormat="1" applyFont="1" applyBorder="1" applyAlignment="1">
      <alignment horizontal="center" vertical="center"/>
    </xf>
    <xf numFmtId="41" fontId="3" fillId="0" borderId="0" xfId="4" applyFont="1" applyBorder="1" applyAlignment="1">
      <alignment horizontal="center" vertical="center"/>
    </xf>
    <xf numFmtId="0" fontId="7" fillId="0" borderId="0" xfId="0" applyFont="1">
      <alignment vertical="center"/>
    </xf>
    <xf numFmtId="0" fontId="3" fillId="0" borderId="2" xfId="3" applyNumberFormat="1" applyFont="1" applyFill="1" applyBorder="1" applyAlignment="1">
      <alignment horizontal="left" vertical="center"/>
    </xf>
    <xf numFmtId="0" fontId="3" fillId="0" borderId="0" xfId="3" applyNumberFormat="1" applyFont="1" applyFill="1" applyBorder="1" applyAlignment="1">
      <alignment horizontal="left" vertical="center"/>
    </xf>
    <xf numFmtId="176" fontId="3" fillId="0" borderId="4" xfId="3" applyNumberFormat="1" applyFont="1" applyBorder="1" applyAlignment="1">
      <alignment horizontal="center" vertical="center"/>
    </xf>
    <xf numFmtId="176" fontId="3" fillId="0" borderId="5" xfId="3" applyNumberFormat="1" applyFont="1" applyBorder="1" applyAlignment="1">
      <alignment horizontal="center" vertical="center"/>
    </xf>
    <xf numFmtId="176" fontId="3" fillId="0" borderId="5" xfId="3" applyNumberFormat="1" applyFont="1" applyFill="1" applyBorder="1" applyAlignment="1">
      <alignment horizontal="center" vertical="center"/>
    </xf>
    <xf numFmtId="176" fontId="3" fillId="0" borderId="6" xfId="3" applyNumberFormat="1" applyFont="1" applyFill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5" fillId="0" borderId="10" xfId="3" applyNumberFormat="1" applyFont="1" applyFill="1" applyBorder="1" applyAlignment="1">
      <alignment horizontal="center" vertical="center"/>
    </xf>
    <xf numFmtId="41" fontId="3" fillId="0" borderId="11" xfId="1" applyFont="1" applyBorder="1" applyAlignment="1">
      <alignment horizontal="center" vertical="center"/>
    </xf>
    <xf numFmtId="41" fontId="3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0" xfId="3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41" fontId="7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9" fillId="0" borderId="0" xfId="5" applyFont="1">
      <alignment vertical="center"/>
    </xf>
    <xf numFmtId="0" fontId="8" fillId="0" borderId="0" xfId="5" applyFont="1">
      <alignment vertical="center"/>
    </xf>
    <xf numFmtId="0" fontId="1" fillId="0" borderId="0" xfId="5">
      <alignment vertical="center"/>
    </xf>
    <xf numFmtId="0" fontId="1" fillId="0" borderId="1" xfId="5" applyBorder="1" applyAlignment="1">
      <alignment horizontal="center" vertical="center"/>
    </xf>
    <xf numFmtId="41" fontId="0" fillId="0" borderId="1" xfId="6" applyFont="1" applyBorder="1" applyAlignment="1">
      <alignment horizontal="center" vertical="center"/>
    </xf>
    <xf numFmtId="41" fontId="0" fillId="0" borderId="1" xfId="6" applyFont="1" applyBorder="1">
      <alignment vertical="center"/>
    </xf>
    <xf numFmtId="0" fontId="1" fillId="2" borderId="1" xfId="5" applyFill="1" applyBorder="1" applyAlignment="1">
      <alignment horizontal="center" vertical="center"/>
    </xf>
    <xf numFmtId="0" fontId="6" fillId="0" borderId="0" xfId="7" applyAlignment="1">
      <alignment vertical="center"/>
    </xf>
    <xf numFmtId="0" fontId="6" fillId="0" borderId="1" xfId="7" applyBorder="1" applyAlignment="1">
      <alignment horizontal="center" vertical="center"/>
    </xf>
    <xf numFmtId="0" fontId="1" fillId="0" borderId="1" xfId="9" applyBorder="1" applyAlignment="1">
      <alignment horizontal="center" vertical="center"/>
    </xf>
    <xf numFmtId="0" fontId="1" fillId="0" borderId="0" xfId="9">
      <alignment vertical="center"/>
    </xf>
    <xf numFmtId="0" fontId="8" fillId="0" borderId="0" xfId="9" applyFont="1">
      <alignment vertical="center"/>
    </xf>
    <xf numFmtId="0" fontId="0" fillId="0" borderId="1" xfId="9" applyFont="1" applyBorder="1" applyAlignment="1">
      <alignment horizontal="center" vertical="center"/>
    </xf>
    <xf numFmtId="41" fontId="0" fillId="0" borderId="1" xfId="6" applyFont="1" applyFill="1" applyBorder="1" applyAlignment="1">
      <alignment horizontal="center" vertical="center"/>
    </xf>
    <xf numFmtId="180" fontId="0" fillId="0" borderId="1" xfId="6" applyNumberFormat="1" applyFont="1" applyBorder="1">
      <alignment vertical="center"/>
    </xf>
    <xf numFmtId="0" fontId="6" fillId="2" borderId="1" xfId="7" applyFill="1" applyBorder="1" applyAlignment="1">
      <alignment horizontal="center" vertical="center"/>
    </xf>
    <xf numFmtId="181" fontId="6" fillId="0" borderId="1" xfId="7" applyNumberFormat="1" applyBorder="1" applyAlignment="1">
      <alignment horizontal="center" vertical="center"/>
    </xf>
    <xf numFmtId="0" fontId="6" fillId="0" borderId="1" xfId="7" applyNumberFormat="1" applyBorder="1" applyAlignment="1">
      <alignment horizontal="center" vertical="center"/>
    </xf>
    <xf numFmtId="0" fontId="1" fillId="0" borderId="0" xfId="7" applyFont="1" applyAlignment="1">
      <alignment vertical="center"/>
    </xf>
    <xf numFmtId="0" fontId="1" fillId="0" borderId="1" xfId="7" quotePrefix="1" applyNumberFormat="1" applyFont="1" applyBorder="1" applyAlignment="1">
      <alignment horizontal="center" vertical="center"/>
    </xf>
    <xf numFmtId="14" fontId="6" fillId="0" borderId="1" xfId="7" applyNumberFormat="1" applyBorder="1" applyAlignment="1">
      <alignment horizontal="center" vertical="center"/>
    </xf>
    <xf numFmtId="0" fontId="1" fillId="0" borderId="1" xfId="9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41" fontId="7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2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82" fontId="0" fillId="0" borderId="1" xfId="2" applyNumberFormat="1" applyFont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0" xfId="0" applyBorder="1">
      <alignment vertical="center"/>
    </xf>
    <xf numFmtId="0" fontId="0" fillId="0" borderId="1" xfId="0" applyBorder="1">
      <alignment vertical="center"/>
    </xf>
    <xf numFmtId="0" fontId="0" fillId="0" borderId="14" xfId="0" applyBorder="1">
      <alignment vertical="center"/>
    </xf>
    <xf numFmtId="0" fontId="0" fillId="0" borderId="7" xfId="0" applyBorder="1">
      <alignment vertical="center"/>
    </xf>
    <xf numFmtId="0" fontId="0" fillId="0" borderId="16" xfId="0" applyBorder="1">
      <alignment vertical="center"/>
    </xf>
    <xf numFmtId="0" fontId="0" fillId="0" borderId="18" xfId="0" applyBorder="1">
      <alignment vertical="center"/>
    </xf>
    <xf numFmtId="0" fontId="0" fillId="0" borderId="1" xfId="0" applyBorder="1" applyAlignment="1">
      <alignment horizontal="center" vertical="center" shrinkToFit="1"/>
    </xf>
    <xf numFmtId="0" fontId="7" fillId="0" borderId="1" xfId="9" applyFont="1" applyBorder="1" applyAlignment="1">
      <alignment horizontal="center" vertical="center" shrinkToFit="1"/>
    </xf>
    <xf numFmtId="0" fontId="7" fillId="0" borderId="1" xfId="9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" fontId="0" fillId="0" borderId="1" xfId="0" quotePrefix="1" applyNumberForma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41" fontId="0" fillId="0" borderId="0" xfId="1" applyFont="1">
      <alignment vertical="center"/>
    </xf>
    <xf numFmtId="41" fontId="0" fillId="2" borderId="1" xfId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9" fontId="0" fillId="0" borderId="1" xfId="2" applyFont="1" applyBorder="1">
      <alignment vertical="center"/>
    </xf>
    <xf numFmtId="185" fontId="0" fillId="0" borderId="1" xfId="0" applyNumberFormat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7" fillId="0" borderId="1" xfId="0" applyFont="1" applyFill="1" applyBorder="1" applyAlignment="1">
      <alignment horizontal="center"/>
    </xf>
    <xf numFmtId="0" fontId="0" fillId="0" borderId="0" xfId="0" applyFill="1">
      <alignment vertical="center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20" fontId="3" fillId="0" borderId="1" xfId="0" applyNumberFormat="1" applyFont="1" applyFill="1" applyBorder="1" applyAlignment="1">
      <alignment horizontal="center"/>
    </xf>
    <xf numFmtId="41" fontId="0" fillId="0" borderId="1" xfId="1" applyFont="1" applyBorder="1" applyAlignment="1">
      <alignment horizontal="center"/>
    </xf>
    <xf numFmtId="0" fontId="3" fillId="0" borderId="0" xfId="0" applyFont="1">
      <alignment vertical="center"/>
    </xf>
    <xf numFmtId="41" fontId="3" fillId="0" borderId="1" xfId="1" applyFont="1" applyBorder="1" applyAlignment="1">
      <alignment horizontal="right" vertical="center"/>
    </xf>
    <xf numFmtId="41" fontId="3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179" fontId="7" fillId="0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right" vertical="center"/>
    </xf>
    <xf numFmtId="187" fontId="3" fillId="0" borderId="1" xfId="1" applyNumberFormat="1" applyFont="1" applyBorder="1" applyAlignment="1">
      <alignment horizontal="right" vertical="center"/>
    </xf>
    <xf numFmtId="188" fontId="3" fillId="0" borderId="1" xfId="1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0" fillId="0" borderId="1" xfId="9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15" fillId="0" borderId="0" xfId="9" applyFont="1">
      <alignment vertical="center"/>
    </xf>
    <xf numFmtId="0" fontId="16" fillId="0" borderId="0" xfId="0" applyFont="1">
      <alignment vertical="center"/>
    </xf>
    <xf numFmtId="0" fontId="17" fillId="0" borderId="0" xfId="0" applyFont="1" applyFill="1" applyBorder="1" applyAlignment="1">
      <alignment horizontal="left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9" fontId="7" fillId="0" borderId="1" xfId="1" applyNumberFormat="1" applyFont="1" applyFill="1" applyBorder="1">
      <alignment vertical="center"/>
    </xf>
    <xf numFmtId="0" fontId="7" fillId="0" borderId="0" xfId="0" applyFont="1" applyAlignment="1">
      <alignment horizontal="left" vertical="center"/>
    </xf>
    <xf numFmtId="41" fontId="0" fillId="0" borderId="0" xfId="0" applyNumberFormat="1">
      <alignment vertical="center"/>
    </xf>
    <xf numFmtId="0" fontId="0" fillId="0" borderId="1" xfId="9" applyNumberFormat="1" applyFon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1" xfId="5" applyFont="1" applyBorder="1" applyAlignment="1">
      <alignment horizontal="center" vertical="center"/>
    </xf>
    <xf numFmtId="14" fontId="8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0" borderId="0" xfId="5" applyFont="1" applyFill="1">
      <alignment vertical="center"/>
    </xf>
    <xf numFmtId="0" fontId="7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8" fillId="0" borderId="0" xfId="0" applyFont="1">
      <alignment vertical="center"/>
    </xf>
    <xf numFmtId="19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9" applyFont="1" applyFill="1" applyBorder="1" applyAlignment="1">
      <alignment horizontal="center" vertical="center"/>
    </xf>
    <xf numFmtId="0" fontId="1" fillId="2" borderId="1" xfId="9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3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0" fillId="2" borderId="10" xfId="9" applyFont="1" applyFill="1" applyBorder="1" applyAlignment="1">
      <alignment horizontal="center" vertical="center"/>
    </xf>
    <xf numFmtId="0" fontId="1" fillId="2" borderId="15" xfId="9" applyFill="1" applyBorder="1" applyAlignment="1">
      <alignment horizontal="center" vertical="center"/>
    </xf>
    <xf numFmtId="0" fontId="1" fillId="2" borderId="14" xfId="9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2" xfId="7" applyFont="1" applyBorder="1" applyAlignment="1">
      <alignment horizontal="center" vertical="center"/>
    </xf>
    <xf numFmtId="0" fontId="6" fillId="0" borderId="2" xfId="7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0" xfId="5" applyFont="1" applyFill="1" applyBorder="1" applyAlignment="1">
      <alignment horizontal="center" vertical="center"/>
    </xf>
    <xf numFmtId="0" fontId="1" fillId="2" borderId="15" xfId="5" applyFill="1" applyBorder="1" applyAlignment="1">
      <alignment horizontal="center" vertical="center"/>
    </xf>
    <xf numFmtId="0" fontId="1" fillId="2" borderId="14" xfId="5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</cellXfs>
  <cellStyles count="13">
    <cellStyle name="백분율" xfId="2" builtinId="5"/>
    <cellStyle name="쉼표 [0]" xfId="1" builtinId="6"/>
    <cellStyle name="쉼표 [0] 2" xfId="4" xr:uid="{00000000-0005-0000-0000-000002000000}"/>
    <cellStyle name="쉼표 [0] 2 2" xfId="6" xr:uid="{00000000-0005-0000-0000-000003000000}"/>
    <cellStyle name="표준" xfId="0" builtinId="0"/>
    <cellStyle name="표준 2" xfId="9" xr:uid="{00000000-0005-0000-0000-000005000000}"/>
    <cellStyle name="표준 2 2" xfId="12" xr:uid="{00000000-0005-0000-0000-000006000000}"/>
    <cellStyle name="표준 2 2 2" xfId="3" xr:uid="{00000000-0005-0000-0000-000007000000}"/>
    <cellStyle name="표준 2 3" xfId="10" xr:uid="{00000000-0005-0000-0000-000008000000}"/>
    <cellStyle name="표준 3" xfId="7" xr:uid="{00000000-0005-0000-0000-000009000000}"/>
    <cellStyle name="표준 3 2" xfId="5" xr:uid="{00000000-0005-0000-0000-00000A000000}"/>
    <cellStyle name="표준 4" xfId="11" xr:uid="{00000000-0005-0000-0000-00000B000000}"/>
    <cellStyle name="표준 5" xfId="8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34"/>
  <sheetViews>
    <sheetView tabSelected="1" workbookViewId="0"/>
  </sheetViews>
  <sheetFormatPr defaultRowHeight="16.5"/>
  <cols>
    <col min="2" max="2" width="10.625" customWidth="1"/>
    <col min="3" max="3" width="14.625" bestFit="1" customWidth="1"/>
    <col min="4" max="4" width="10" customWidth="1"/>
    <col min="5" max="5" width="11.5" customWidth="1"/>
    <col min="6" max="6" width="2.625" customWidth="1"/>
    <col min="10" max="10" width="18.625" bestFit="1" customWidth="1"/>
  </cols>
  <sheetData>
    <row r="1" spans="1:13" ht="17.25">
      <c r="A1" s="7" t="s">
        <v>0</v>
      </c>
      <c r="B1" s="8" t="s">
        <v>193</v>
      </c>
      <c r="C1" s="7"/>
      <c r="D1" s="7"/>
      <c r="G1" s="151" t="s">
        <v>29</v>
      </c>
      <c r="H1" s="69" t="s">
        <v>173</v>
      </c>
      <c r="I1" s="68"/>
      <c r="J1" s="68"/>
      <c r="K1" s="68"/>
    </row>
    <row r="2" spans="1:13">
      <c r="A2" s="5" t="s">
        <v>99</v>
      </c>
      <c r="B2" s="6" t="s">
        <v>111</v>
      </c>
      <c r="C2" s="5" t="s">
        <v>121</v>
      </c>
      <c r="D2" s="4" t="s">
        <v>122</v>
      </c>
      <c r="G2" s="70" t="s">
        <v>108</v>
      </c>
      <c r="H2" s="70" t="s">
        <v>102</v>
      </c>
      <c r="I2" s="70" t="s">
        <v>174</v>
      </c>
      <c r="J2" s="70" t="s">
        <v>175</v>
      </c>
      <c r="K2" s="70" t="s">
        <v>176</v>
      </c>
    </row>
    <row r="3" spans="1:13">
      <c r="A3" s="1" t="s">
        <v>105</v>
      </c>
      <c r="B3" s="3" t="s">
        <v>112</v>
      </c>
      <c r="C3" s="2">
        <v>45907</v>
      </c>
      <c r="D3" s="1" t="str">
        <f>IF(WEEKDAY(C3,2)&lt;=5,"평일반","주말반")</f>
        <v>주말반</v>
      </c>
      <c r="G3" s="70" t="s">
        <v>181</v>
      </c>
      <c r="H3" s="70" t="s">
        <v>177</v>
      </c>
      <c r="I3" s="70" t="s">
        <v>192</v>
      </c>
      <c r="J3" s="67"/>
      <c r="K3" s="70" t="s">
        <v>192</v>
      </c>
    </row>
    <row r="4" spans="1:13">
      <c r="A4" s="1" t="s">
        <v>105</v>
      </c>
      <c r="B4" s="3" t="s">
        <v>113</v>
      </c>
      <c r="C4" s="2">
        <v>45911</v>
      </c>
      <c r="D4" s="1" t="str">
        <f t="shared" ref="D4:D9" si="0">IF(WEEKDAY(C4,2)&lt;=5,"평일반","주말반")</f>
        <v>평일반</v>
      </c>
      <c r="G4" s="70" t="s">
        <v>182</v>
      </c>
      <c r="H4" s="70" t="s">
        <v>178</v>
      </c>
      <c r="I4" s="67"/>
      <c r="J4" s="70" t="s">
        <v>192</v>
      </c>
      <c r="K4" s="70" t="s">
        <v>192</v>
      </c>
    </row>
    <row r="5" spans="1:13">
      <c r="A5" s="1" t="s">
        <v>105</v>
      </c>
      <c r="B5" s="3" t="s">
        <v>116</v>
      </c>
      <c r="C5" s="2">
        <v>45904</v>
      </c>
      <c r="D5" s="1" t="str">
        <f t="shared" si="0"/>
        <v>평일반</v>
      </c>
      <c r="G5" s="70" t="s">
        <v>183</v>
      </c>
      <c r="H5" s="70" t="s">
        <v>179</v>
      </c>
      <c r="I5" s="70" t="s">
        <v>192</v>
      </c>
      <c r="J5" s="67"/>
      <c r="K5" s="70" t="s">
        <v>192</v>
      </c>
    </row>
    <row r="6" spans="1:13">
      <c r="A6" s="1" t="s">
        <v>37</v>
      </c>
      <c r="B6" s="3" t="s">
        <v>114</v>
      </c>
      <c r="C6" s="2">
        <v>45913</v>
      </c>
      <c r="D6" s="1" t="str">
        <f t="shared" si="0"/>
        <v>주말반</v>
      </c>
      <c r="G6" s="70" t="s">
        <v>184</v>
      </c>
      <c r="H6" s="70" t="s">
        <v>180</v>
      </c>
      <c r="I6" s="70" t="s">
        <v>192</v>
      </c>
      <c r="J6" s="70" t="s">
        <v>192</v>
      </c>
      <c r="K6" s="67"/>
    </row>
    <row r="7" spans="1:13">
      <c r="A7" s="1" t="s">
        <v>37</v>
      </c>
      <c r="B7" s="3" t="s">
        <v>115</v>
      </c>
      <c r="C7" s="2">
        <v>45919</v>
      </c>
      <c r="D7" s="1" t="str">
        <f t="shared" si="0"/>
        <v>평일반</v>
      </c>
      <c r="G7" s="70" t="s">
        <v>185</v>
      </c>
      <c r="H7" s="70" t="s">
        <v>177</v>
      </c>
      <c r="I7" s="67"/>
      <c r="J7" s="70" t="s">
        <v>192</v>
      </c>
      <c r="K7" s="70" t="s">
        <v>192</v>
      </c>
    </row>
    <row r="8" spans="1:13">
      <c r="A8" s="1" t="s">
        <v>110</v>
      </c>
      <c r="B8" s="3" t="s">
        <v>117</v>
      </c>
      <c r="C8" s="2">
        <v>45908</v>
      </c>
      <c r="D8" s="1" t="str">
        <f t="shared" si="0"/>
        <v>평일반</v>
      </c>
      <c r="G8" s="70" t="s">
        <v>186</v>
      </c>
      <c r="H8" s="70" t="s">
        <v>178</v>
      </c>
      <c r="I8" s="70" t="s">
        <v>192</v>
      </c>
      <c r="J8" s="70" t="s">
        <v>192</v>
      </c>
      <c r="K8" s="67"/>
    </row>
    <row r="9" spans="1:13">
      <c r="A9" s="1" t="s">
        <v>37</v>
      </c>
      <c r="B9" s="3" t="s">
        <v>118</v>
      </c>
      <c r="C9" s="2">
        <v>45925</v>
      </c>
      <c r="D9" s="1" t="str">
        <f t="shared" si="0"/>
        <v>평일반</v>
      </c>
      <c r="G9" s="70" t="s">
        <v>187</v>
      </c>
      <c r="H9" s="70" t="s">
        <v>179</v>
      </c>
      <c r="I9" s="70" t="s">
        <v>192</v>
      </c>
      <c r="J9" s="70" t="s">
        <v>192</v>
      </c>
      <c r="K9" s="67"/>
    </row>
    <row r="10" spans="1:13">
      <c r="G10" s="70" t="s">
        <v>188</v>
      </c>
      <c r="H10" s="70" t="s">
        <v>177</v>
      </c>
      <c r="I10" s="67"/>
      <c r="J10" s="70" t="s">
        <v>192</v>
      </c>
      <c r="K10" s="70" t="s">
        <v>192</v>
      </c>
    </row>
    <row r="11" spans="1:13" ht="17.25">
      <c r="A11" s="152" t="s">
        <v>307</v>
      </c>
      <c r="B11" s="85" t="s">
        <v>123</v>
      </c>
      <c r="G11" s="70" t="s">
        <v>189</v>
      </c>
      <c r="H11" s="70" t="s">
        <v>179</v>
      </c>
      <c r="I11" s="67"/>
      <c r="J11" s="70" t="s">
        <v>192</v>
      </c>
      <c r="K11" s="70" t="s">
        <v>192</v>
      </c>
    </row>
    <row r="12" spans="1:13">
      <c r="A12" s="34" t="s">
        <v>57</v>
      </c>
      <c r="B12" s="89" t="s">
        <v>55</v>
      </c>
      <c r="C12" s="34" t="s">
        <v>58</v>
      </c>
      <c r="D12" s="34" t="s">
        <v>154</v>
      </c>
      <c r="E12" s="34" t="s">
        <v>153</v>
      </c>
      <c r="G12" s="70" t="s">
        <v>190</v>
      </c>
      <c r="H12" s="70" t="s">
        <v>177</v>
      </c>
      <c r="I12" s="70" t="s">
        <v>192</v>
      </c>
      <c r="J12" s="67"/>
      <c r="K12" s="67"/>
      <c r="M12" s="70" t="s">
        <v>102</v>
      </c>
    </row>
    <row r="13" spans="1:13">
      <c r="A13" s="34" t="s">
        <v>125</v>
      </c>
      <c r="B13" s="34" t="str">
        <f t="shared" ref="B13:B22" si="1">IF(OR(MID(C13,8,1)="1",MID(C13,8,1)="3"),"남자","여자")</f>
        <v>남자</v>
      </c>
      <c r="C13" s="34" t="s">
        <v>124</v>
      </c>
      <c r="D13" s="34" t="s">
        <v>144</v>
      </c>
      <c r="E13" s="34" t="s">
        <v>155</v>
      </c>
      <c r="G13" s="188" t="s">
        <v>191</v>
      </c>
      <c r="H13" s="189"/>
      <c r="I13" s="189"/>
      <c r="J13" s="189"/>
      <c r="K13" s="67">
        <f>DCOUNTA(G2:K12,I2,M12:M13)</f>
        <v>2</v>
      </c>
      <c r="M13" s="147" t="s">
        <v>177</v>
      </c>
    </row>
    <row r="14" spans="1:13">
      <c r="A14" s="34" t="s">
        <v>126</v>
      </c>
      <c r="B14" s="34" t="str">
        <f t="shared" si="1"/>
        <v>여자</v>
      </c>
      <c r="C14" s="148" t="s">
        <v>135</v>
      </c>
      <c r="D14" s="34" t="s">
        <v>145</v>
      </c>
      <c r="E14" s="34" t="s">
        <v>156</v>
      </c>
      <c r="G14" s="68"/>
      <c r="H14" s="68"/>
      <c r="I14" s="68"/>
      <c r="J14" s="68"/>
      <c r="K14" s="68"/>
    </row>
    <row r="15" spans="1:13" ht="17.25">
      <c r="A15" s="34" t="s">
        <v>127</v>
      </c>
      <c r="B15" s="34" t="str">
        <f t="shared" si="1"/>
        <v>여자</v>
      </c>
      <c r="C15" s="148" t="s">
        <v>137</v>
      </c>
      <c r="D15" s="34" t="s">
        <v>146</v>
      </c>
      <c r="E15" s="148" t="s">
        <v>155</v>
      </c>
      <c r="G15" s="152" t="s">
        <v>119</v>
      </c>
      <c r="H15" s="85" t="s">
        <v>196</v>
      </c>
    </row>
    <row r="16" spans="1:13">
      <c r="A16" s="34" t="s">
        <v>128</v>
      </c>
      <c r="B16" s="34" t="str">
        <f t="shared" si="1"/>
        <v>남자</v>
      </c>
      <c r="C16" s="148" t="s">
        <v>138</v>
      </c>
      <c r="D16" s="34" t="s">
        <v>152</v>
      </c>
      <c r="E16" s="148" t="s">
        <v>156</v>
      </c>
      <c r="G16" s="34" t="s">
        <v>57</v>
      </c>
      <c r="H16" s="34" t="s">
        <v>55</v>
      </c>
      <c r="I16" s="89" t="s">
        <v>198</v>
      </c>
      <c r="J16" s="34" t="s">
        <v>197</v>
      </c>
    </row>
    <row r="17" spans="1:10">
      <c r="A17" s="34" t="s">
        <v>129</v>
      </c>
      <c r="B17" s="34" t="str">
        <f t="shared" si="1"/>
        <v>남자</v>
      </c>
      <c r="C17" s="148" t="s">
        <v>139</v>
      </c>
      <c r="D17" s="34" t="s">
        <v>147</v>
      </c>
      <c r="E17" s="148" t="s">
        <v>155</v>
      </c>
      <c r="G17" s="149" t="s">
        <v>125</v>
      </c>
      <c r="H17" s="34" t="s">
        <v>194</v>
      </c>
      <c r="I17" s="34" t="str">
        <f t="shared" ref="I17:I26" si="2">MID(J17,1,SEARCH("@",J17,1)-1)</f>
        <v>Juho1</v>
      </c>
      <c r="J17" s="102" t="s">
        <v>199</v>
      </c>
    </row>
    <row r="18" spans="1:10">
      <c r="A18" s="34" t="s">
        <v>130</v>
      </c>
      <c r="B18" s="34" t="str">
        <f t="shared" si="1"/>
        <v>여자</v>
      </c>
      <c r="C18" s="148" t="s">
        <v>140</v>
      </c>
      <c r="D18" s="34" t="s">
        <v>148</v>
      </c>
      <c r="E18" s="148" t="s">
        <v>156</v>
      </c>
      <c r="G18" s="149" t="s">
        <v>126</v>
      </c>
      <c r="H18" s="34" t="s">
        <v>195</v>
      </c>
      <c r="I18" s="34" t="str">
        <f t="shared" si="2"/>
        <v>JEMIN</v>
      </c>
      <c r="J18" s="102" t="s">
        <v>200</v>
      </c>
    </row>
    <row r="19" spans="1:10">
      <c r="A19" s="34" t="s">
        <v>131</v>
      </c>
      <c r="B19" s="34" t="str">
        <f t="shared" si="1"/>
        <v>남자</v>
      </c>
      <c r="C19" s="148" t="s">
        <v>141</v>
      </c>
      <c r="D19" s="34" t="s">
        <v>149</v>
      </c>
      <c r="E19" s="148" t="s">
        <v>155</v>
      </c>
      <c r="G19" s="149" t="s">
        <v>127</v>
      </c>
      <c r="H19" s="34" t="s">
        <v>195</v>
      </c>
      <c r="I19" s="34" t="str">
        <f t="shared" si="2"/>
        <v>Seo91</v>
      </c>
      <c r="J19" s="102" t="s">
        <v>201</v>
      </c>
    </row>
    <row r="20" spans="1:10">
      <c r="A20" s="34" t="s">
        <v>132</v>
      </c>
      <c r="B20" s="34" t="str">
        <f t="shared" si="1"/>
        <v>여자</v>
      </c>
      <c r="C20" s="148" t="s">
        <v>142</v>
      </c>
      <c r="D20" s="34" t="s">
        <v>151</v>
      </c>
      <c r="E20" s="148" t="s">
        <v>156</v>
      </c>
      <c r="G20" s="149" t="s">
        <v>128</v>
      </c>
      <c r="H20" s="34" t="s">
        <v>194</v>
      </c>
      <c r="I20" s="34" t="str">
        <f t="shared" si="2"/>
        <v>jhpark</v>
      </c>
      <c r="J20" s="102" t="s">
        <v>202</v>
      </c>
    </row>
    <row r="21" spans="1:10">
      <c r="A21" s="34" t="s">
        <v>133</v>
      </c>
      <c r="B21" s="34" t="str">
        <f t="shared" si="1"/>
        <v>여자</v>
      </c>
      <c r="C21" s="148" t="s">
        <v>143</v>
      </c>
      <c r="D21" s="34" t="s">
        <v>150</v>
      </c>
      <c r="E21" s="148" t="s">
        <v>156</v>
      </c>
      <c r="G21" s="149" t="s">
        <v>129</v>
      </c>
      <c r="H21" s="34" t="s">
        <v>194</v>
      </c>
      <c r="I21" s="34" t="str">
        <f t="shared" si="2"/>
        <v>hwang5</v>
      </c>
      <c r="J21" s="102" t="s">
        <v>203</v>
      </c>
    </row>
    <row r="22" spans="1:10">
      <c r="A22" s="34" t="s">
        <v>134</v>
      </c>
      <c r="B22" s="34" t="str">
        <f t="shared" si="1"/>
        <v>남자</v>
      </c>
      <c r="C22" s="148" t="s">
        <v>136</v>
      </c>
      <c r="D22" s="34" t="s">
        <v>144</v>
      </c>
      <c r="E22" s="148" t="s">
        <v>155</v>
      </c>
      <c r="G22" s="149" t="s">
        <v>130</v>
      </c>
      <c r="H22" s="34" t="s">
        <v>195</v>
      </c>
      <c r="I22" s="34" t="str">
        <f t="shared" si="2"/>
        <v>dance1</v>
      </c>
      <c r="J22" s="102" t="s">
        <v>204</v>
      </c>
    </row>
    <row r="23" spans="1:10">
      <c r="G23" s="149" t="s">
        <v>131</v>
      </c>
      <c r="H23" s="34" t="s">
        <v>194</v>
      </c>
      <c r="I23" s="34" t="str">
        <f t="shared" si="2"/>
        <v>hyunw</v>
      </c>
      <c r="J23" s="102" t="s">
        <v>205</v>
      </c>
    </row>
    <row r="24" spans="1:10" ht="17.25">
      <c r="A24" s="153" t="s">
        <v>120</v>
      </c>
      <c r="B24" s="122"/>
      <c r="C24" s="123"/>
      <c r="D24" s="123"/>
      <c r="E24" s="123"/>
      <c r="G24" s="149" t="s">
        <v>132</v>
      </c>
      <c r="H24" s="34" t="s">
        <v>195</v>
      </c>
      <c r="I24" s="34" t="str">
        <f t="shared" si="2"/>
        <v>lovechoi</v>
      </c>
      <c r="J24" s="102" t="s">
        <v>206</v>
      </c>
    </row>
    <row r="25" spans="1:10">
      <c r="A25" s="124" t="s">
        <v>161</v>
      </c>
      <c r="B25" s="124" t="s">
        <v>158</v>
      </c>
      <c r="C25" s="124" t="s">
        <v>163</v>
      </c>
      <c r="D25" s="125"/>
      <c r="E25" s="123"/>
      <c r="G25" s="149" t="s">
        <v>133</v>
      </c>
      <c r="H25" s="34" t="s">
        <v>195</v>
      </c>
      <c r="I25" s="34" t="str">
        <f t="shared" si="2"/>
        <v>mimi</v>
      </c>
      <c r="J25" s="102" t="s">
        <v>207</v>
      </c>
    </row>
    <row r="26" spans="1:10">
      <c r="A26" s="124" t="s">
        <v>164</v>
      </c>
      <c r="B26" s="124" t="s">
        <v>157</v>
      </c>
      <c r="C26" s="124">
        <v>85</v>
      </c>
      <c r="D26" s="125"/>
      <c r="E26" s="123"/>
      <c r="G26" s="149" t="s">
        <v>134</v>
      </c>
      <c r="H26" s="34" t="s">
        <v>194</v>
      </c>
      <c r="I26" s="34" t="str">
        <f t="shared" si="2"/>
        <v>tiger2</v>
      </c>
      <c r="J26" s="102" t="s">
        <v>208</v>
      </c>
    </row>
    <row r="27" spans="1:10">
      <c r="A27" s="124" t="s">
        <v>165</v>
      </c>
      <c r="B27" s="124" t="s">
        <v>159</v>
      </c>
      <c r="C27" s="124">
        <v>89</v>
      </c>
      <c r="D27" s="125"/>
      <c r="E27" s="123"/>
    </row>
    <row r="28" spans="1:10">
      <c r="A28" s="124" t="s">
        <v>166</v>
      </c>
      <c r="B28" s="124" t="s">
        <v>160</v>
      </c>
      <c r="C28" s="124">
        <v>92</v>
      </c>
      <c r="D28" s="125"/>
      <c r="E28" s="123"/>
    </row>
    <row r="29" spans="1:10">
      <c r="A29" s="124" t="s">
        <v>167</v>
      </c>
      <c r="B29" s="124" t="s">
        <v>157</v>
      </c>
      <c r="C29" s="124">
        <v>87</v>
      </c>
      <c r="D29" s="125"/>
      <c r="E29" s="123"/>
    </row>
    <row r="30" spans="1:10">
      <c r="A30" s="124" t="s">
        <v>168</v>
      </c>
      <c r="B30" s="124" t="s">
        <v>160</v>
      </c>
      <c r="C30" s="124">
        <v>92</v>
      </c>
      <c r="D30" s="125"/>
      <c r="E30" s="123"/>
    </row>
    <row r="31" spans="1:10">
      <c r="A31" s="124" t="s">
        <v>169</v>
      </c>
      <c r="B31" s="124" t="s">
        <v>159</v>
      </c>
      <c r="C31" s="124">
        <v>91</v>
      </c>
      <c r="D31" s="125"/>
      <c r="E31" s="123"/>
    </row>
    <row r="32" spans="1:10">
      <c r="A32" s="124" t="s">
        <v>171</v>
      </c>
      <c r="B32" s="124" t="s">
        <v>160</v>
      </c>
      <c r="C32" s="124">
        <v>89</v>
      </c>
      <c r="D32" s="125"/>
      <c r="E32" s="123"/>
    </row>
    <row r="33" spans="1:5">
      <c r="A33" s="124" t="s">
        <v>170</v>
      </c>
      <c r="B33" s="124" t="s">
        <v>157</v>
      </c>
      <c r="C33" s="124">
        <v>95</v>
      </c>
      <c r="D33" s="190" t="s">
        <v>162</v>
      </c>
      <c r="E33" s="190"/>
    </row>
    <row r="34" spans="1:5">
      <c r="A34" s="124" t="s">
        <v>172</v>
      </c>
      <c r="B34" s="124" t="s">
        <v>159</v>
      </c>
      <c r="C34" s="124">
        <v>95</v>
      </c>
      <c r="D34" s="191">
        <f>AVERAGE(C26:C34)-DAVERAGE(A25:C34,C25,B25:B26)</f>
        <v>1.5555555555555571</v>
      </c>
      <c r="E34" s="191"/>
    </row>
  </sheetData>
  <mergeCells count="3">
    <mergeCell ref="G13:J13"/>
    <mergeCell ref="D33:E33"/>
    <mergeCell ref="D34:E34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8"/>
  <sheetViews>
    <sheetView topLeftCell="A10" workbookViewId="0">
      <selection activeCell="J36" sqref="J36"/>
    </sheetView>
  </sheetViews>
  <sheetFormatPr defaultRowHeight="16.5"/>
  <cols>
    <col min="1" max="1" width="10.875" customWidth="1"/>
    <col min="4" max="4" width="13.625" customWidth="1"/>
    <col min="5" max="5" width="12.625" customWidth="1"/>
    <col min="6" max="6" width="8.25" customWidth="1"/>
    <col min="7" max="7" width="9.375" customWidth="1"/>
    <col min="8" max="8" width="9.875" customWidth="1"/>
    <col min="9" max="9" width="9.5" customWidth="1"/>
    <col min="11" max="11" width="10.375" customWidth="1"/>
    <col min="12" max="12" width="16.625" bestFit="1" customWidth="1"/>
    <col min="13" max="13" width="22.875" bestFit="1" customWidth="1"/>
    <col min="14" max="14" width="26.625" customWidth="1"/>
  </cols>
  <sheetData>
    <row r="1" spans="1:13">
      <c r="A1" s="7" t="s">
        <v>39</v>
      </c>
      <c r="B1" s="8" t="s">
        <v>241</v>
      </c>
      <c r="C1" s="7"/>
      <c r="D1" s="9"/>
      <c r="E1" s="7"/>
      <c r="F1" s="7"/>
      <c r="I1" s="7" t="s">
        <v>29</v>
      </c>
      <c r="J1" s="8" t="s">
        <v>270</v>
      </c>
      <c r="K1" s="68"/>
      <c r="L1" s="68"/>
      <c r="M1" s="68"/>
    </row>
    <row r="2" spans="1:13">
      <c r="A2" s="10" t="s">
        <v>108</v>
      </c>
      <c r="B2" s="10" t="s">
        <v>242</v>
      </c>
      <c r="C2" s="10" t="s">
        <v>243</v>
      </c>
      <c r="D2" s="11" t="s">
        <v>2</v>
      </c>
      <c r="I2" s="147" t="s">
        <v>43</v>
      </c>
      <c r="J2" s="70" t="s">
        <v>107</v>
      </c>
      <c r="K2" s="70" t="s">
        <v>255</v>
      </c>
      <c r="L2" s="70" t="s">
        <v>256</v>
      </c>
      <c r="M2" s="70" t="s">
        <v>28</v>
      </c>
    </row>
    <row r="3" spans="1:13">
      <c r="A3" s="12" t="s">
        <v>244</v>
      </c>
      <c r="B3" s="13">
        <v>95</v>
      </c>
      <c r="C3" s="13">
        <v>85</v>
      </c>
      <c r="D3" s="12" t="str">
        <f t="shared" ref="D3:D9" si="0">HLOOKUP(AVERAGE(B3:C3),$B$12:$G$14,3,TRUE)</f>
        <v>A</v>
      </c>
      <c r="I3" s="147" t="s">
        <v>257</v>
      </c>
      <c r="J3" s="147" t="s">
        <v>34</v>
      </c>
      <c r="K3" s="71">
        <v>48</v>
      </c>
      <c r="L3" s="71">
        <v>47</v>
      </c>
      <c r="M3" s="71">
        <f t="shared" ref="M3:M12" si="1">SUM(K3:L3)</f>
        <v>95</v>
      </c>
    </row>
    <row r="4" spans="1:13">
      <c r="A4" s="12" t="s">
        <v>245</v>
      </c>
      <c r="B4" s="13">
        <v>85</v>
      </c>
      <c r="C4" s="13">
        <v>80</v>
      </c>
      <c r="D4" s="12" t="str">
        <f t="shared" si="0"/>
        <v>B</v>
      </c>
      <c r="I4" s="147" t="s">
        <v>258</v>
      </c>
      <c r="J4" s="147" t="s">
        <v>36</v>
      </c>
      <c r="K4" s="71">
        <v>50</v>
      </c>
      <c r="L4" s="71">
        <v>48</v>
      </c>
      <c r="M4" s="71">
        <f t="shared" si="1"/>
        <v>98</v>
      </c>
    </row>
    <row r="5" spans="1:13">
      <c r="A5" s="12" t="s">
        <v>246</v>
      </c>
      <c r="B5" s="13">
        <v>100</v>
      </c>
      <c r="C5" s="13">
        <v>95</v>
      </c>
      <c r="D5" s="12" t="str">
        <f t="shared" si="0"/>
        <v>A+</v>
      </c>
      <c r="I5" s="147" t="s">
        <v>263</v>
      </c>
      <c r="J5" s="147" t="s">
        <v>267</v>
      </c>
      <c r="K5" s="71">
        <v>43</v>
      </c>
      <c r="L5" s="71">
        <v>42</v>
      </c>
      <c r="M5" s="71">
        <f t="shared" si="1"/>
        <v>85</v>
      </c>
    </row>
    <row r="6" spans="1:13">
      <c r="A6" s="12" t="s">
        <v>247</v>
      </c>
      <c r="B6" s="13">
        <v>95</v>
      </c>
      <c r="C6" s="13">
        <v>85</v>
      </c>
      <c r="D6" s="12" t="str">
        <f t="shared" si="0"/>
        <v>A</v>
      </c>
      <c r="I6" s="147" t="s">
        <v>264</v>
      </c>
      <c r="J6" s="147" t="s">
        <v>34</v>
      </c>
      <c r="K6" s="71">
        <v>45</v>
      </c>
      <c r="L6" s="71">
        <v>46</v>
      </c>
      <c r="M6" s="71">
        <f t="shared" si="1"/>
        <v>91</v>
      </c>
    </row>
    <row r="7" spans="1:13">
      <c r="A7" s="12" t="s">
        <v>248</v>
      </c>
      <c r="B7" s="13">
        <v>65</v>
      </c>
      <c r="C7" s="13">
        <v>50</v>
      </c>
      <c r="D7" s="12" t="str">
        <f t="shared" si="0"/>
        <v>F</v>
      </c>
      <c r="I7" s="147" t="s">
        <v>265</v>
      </c>
      <c r="J7" s="147" t="s">
        <v>267</v>
      </c>
      <c r="K7" s="71">
        <v>41</v>
      </c>
      <c r="L7" s="71">
        <v>39</v>
      </c>
      <c r="M7" s="71">
        <f t="shared" si="1"/>
        <v>80</v>
      </c>
    </row>
    <row r="8" spans="1:13">
      <c r="A8" s="12" t="s">
        <v>249</v>
      </c>
      <c r="B8" s="13">
        <v>75</v>
      </c>
      <c r="C8" s="13">
        <v>70</v>
      </c>
      <c r="D8" s="12" t="str">
        <f t="shared" si="0"/>
        <v>C</v>
      </c>
      <c r="I8" s="147" t="s">
        <v>266</v>
      </c>
      <c r="J8" s="147" t="s">
        <v>36</v>
      </c>
      <c r="K8" s="71">
        <v>49</v>
      </c>
      <c r="L8" s="71">
        <v>45</v>
      </c>
      <c r="M8" s="71">
        <f t="shared" si="1"/>
        <v>94</v>
      </c>
    </row>
    <row r="9" spans="1:13">
      <c r="A9" s="12" t="s">
        <v>109</v>
      </c>
      <c r="B9" s="13">
        <v>80</v>
      </c>
      <c r="C9" s="13">
        <v>90</v>
      </c>
      <c r="D9" s="12" t="str">
        <f t="shared" si="0"/>
        <v>B</v>
      </c>
      <c r="I9" s="147" t="s">
        <v>259</v>
      </c>
      <c r="J9" s="147" t="s">
        <v>268</v>
      </c>
      <c r="K9" s="71">
        <v>39</v>
      </c>
      <c r="L9" s="71">
        <v>48</v>
      </c>
      <c r="M9" s="71">
        <f t="shared" si="1"/>
        <v>87</v>
      </c>
    </row>
    <row r="10" spans="1:13">
      <c r="A10" s="14"/>
      <c r="B10" s="14"/>
      <c r="C10" s="15"/>
      <c r="D10" s="14"/>
      <c r="E10" s="16"/>
      <c r="F10" s="16"/>
      <c r="I10" s="147" t="s">
        <v>260</v>
      </c>
      <c r="J10" s="147" t="s">
        <v>34</v>
      </c>
      <c r="K10" s="71">
        <v>42</v>
      </c>
      <c r="L10" s="71">
        <v>38</v>
      </c>
      <c r="M10" s="71">
        <f t="shared" si="1"/>
        <v>80</v>
      </c>
    </row>
    <row r="11" spans="1:13" ht="17.25" thickBot="1">
      <c r="A11" s="17" t="s">
        <v>250</v>
      </c>
      <c r="B11" s="18"/>
      <c r="C11" s="18"/>
      <c r="D11" s="18"/>
      <c r="E11" s="18"/>
      <c r="F11" s="18"/>
      <c r="G11" s="18"/>
      <c r="I11" s="147" t="s">
        <v>261</v>
      </c>
      <c r="J11" s="147" t="s">
        <v>267</v>
      </c>
      <c r="K11" s="71">
        <v>48</v>
      </c>
      <c r="L11" s="71">
        <v>45</v>
      </c>
      <c r="M11" s="71">
        <f t="shared" si="1"/>
        <v>93</v>
      </c>
    </row>
    <row r="12" spans="1:13">
      <c r="A12" s="192" t="s">
        <v>251</v>
      </c>
      <c r="B12" s="19">
        <v>0</v>
      </c>
      <c r="C12" s="20">
        <v>60</v>
      </c>
      <c r="D12" s="21">
        <v>70</v>
      </c>
      <c r="E12" s="21">
        <v>80</v>
      </c>
      <c r="F12" s="21">
        <v>90</v>
      </c>
      <c r="G12" s="22">
        <v>95</v>
      </c>
      <c r="I12" s="147" t="s">
        <v>262</v>
      </c>
      <c r="J12" s="147" t="s">
        <v>34</v>
      </c>
      <c r="K12" s="71">
        <v>34</v>
      </c>
      <c r="L12" s="71">
        <v>39</v>
      </c>
      <c r="M12" s="71">
        <f t="shared" si="1"/>
        <v>73</v>
      </c>
    </row>
    <row r="13" spans="1:13">
      <c r="A13" s="193"/>
      <c r="B13" s="23">
        <v>60</v>
      </c>
      <c r="C13" s="24">
        <v>70</v>
      </c>
      <c r="D13" s="24">
        <v>80</v>
      </c>
      <c r="E13" s="24">
        <v>90</v>
      </c>
      <c r="F13" s="24">
        <v>95</v>
      </c>
      <c r="G13" s="25">
        <v>100</v>
      </c>
      <c r="I13" s="194" t="s">
        <v>269</v>
      </c>
      <c r="J13" s="195"/>
      <c r="K13" s="195"/>
      <c r="L13" s="196"/>
      <c r="M13" s="72">
        <f>ROUND(AVERAGEIFS(M3:M12,J3:J12,"&lt;&gt;서울",K3:K12,"&gt;=40"),1)</f>
        <v>90</v>
      </c>
    </row>
    <row r="14" spans="1:13" ht="17.25" thickBot="1">
      <c r="A14" s="26" t="s">
        <v>3</v>
      </c>
      <c r="B14" s="27" t="s">
        <v>4</v>
      </c>
      <c r="C14" s="28" t="s">
        <v>254</v>
      </c>
      <c r="D14" s="28" t="s">
        <v>40</v>
      </c>
      <c r="E14" s="29" t="s">
        <v>253</v>
      </c>
      <c r="F14" s="154" t="s">
        <v>42</v>
      </c>
      <c r="G14" s="30" t="s">
        <v>252</v>
      </c>
    </row>
    <row r="16" spans="1:13">
      <c r="A16" s="7" t="s">
        <v>106</v>
      </c>
      <c r="B16" s="8" t="s">
        <v>275</v>
      </c>
      <c r="J16" s="7" t="s">
        <v>31</v>
      </c>
      <c r="K16" s="8" t="s">
        <v>216</v>
      </c>
      <c r="L16" s="8"/>
    </row>
    <row r="17" spans="1:13">
      <c r="A17" s="34" t="s">
        <v>59</v>
      </c>
      <c r="B17" s="34" t="s">
        <v>107</v>
      </c>
      <c r="C17" s="34" t="s">
        <v>271</v>
      </c>
      <c r="D17" s="34" t="s">
        <v>272</v>
      </c>
      <c r="E17" s="89" t="s">
        <v>274</v>
      </c>
      <c r="G17" t="s">
        <v>305</v>
      </c>
      <c r="J17" s="34" t="s">
        <v>210</v>
      </c>
      <c r="K17" s="34" t="s">
        <v>214</v>
      </c>
      <c r="L17" s="149" t="s">
        <v>215</v>
      </c>
      <c r="M17" s="89" t="s">
        <v>796</v>
      </c>
    </row>
    <row r="18" spans="1:13">
      <c r="A18" s="34" t="s">
        <v>279</v>
      </c>
      <c r="B18" s="34" t="s">
        <v>289</v>
      </c>
      <c r="C18" s="34" t="s">
        <v>42</v>
      </c>
      <c r="D18" s="88">
        <v>3500000</v>
      </c>
      <c r="E18" s="150">
        <f t="shared" ref="E18:E27" si="2">IFERROR(D18*VLOOKUP(C18,$G$19:$H$22,2,FALSE),"평가오류")</f>
        <v>2100000</v>
      </c>
      <c r="G18" s="34" t="s">
        <v>271</v>
      </c>
      <c r="H18" s="34" t="s">
        <v>306</v>
      </c>
      <c r="J18" s="34" t="s">
        <v>220</v>
      </c>
      <c r="K18" s="34" t="s">
        <v>213</v>
      </c>
      <c r="L18" s="149" t="s">
        <v>211</v>
      </c>
      <c r="M18" s="34" t="str">
        <f t="shared" ref="M18:M26" si="3">UPPER(K18)&amp;"("&amp;PROPER(L18)&amp;")"</f>
        <v>ICN(Incheon)</v>
      </c>
    </row>
    <row r="19" spans="1:13">
      <c r="A19" s="34" t="s">
        <v>280</v>
      </c>
      <c r="B19" s="149" t="s">
        <v>289</v>
      </c>
      <c r="C19" s="34" t="s">
        <v>276</v>
      </c>
      <c r="D19" s="88">
        <v>3000000</v>
      </c>
      <c r="E19" s="150">
        <f t="shared" si="2"/>
        <v>3000000</v>
      </c>
      <c r="G19" s="34" t="s">
        <v>25</v>
      </c>
      <c r="H19" s="80">
        <v>1</v>
      </c>
      <c r="J19" s="149" t="s">
        <v>217</v>
      </c>
      <c r="K19" s="34" t="s">
        <v>239</v>
      </c>
      <c r="L19" s="149" t="s">
        <v>218</v>
      </c>
      <c r="M19" s="34" t="str">
        <f t="shared" si="3"/>
        <v>LHR(London-Heathrow)</v>
      </c>
    </row>
    <row r="20" spans="1:13">
      <c r="A20" s="34" t="s">
        <v>281</v>
      </c>
      <c r="B20" s="149" t="s">
        <v>289</v>
      </c>
      <c r="C20" s="34" t="s">
        <v>40</v>
      </c>
      <c r="D20" s="150">
        <v>3500000</v>
      </c>
      <c r="E20" s="150">
        <f t="shared" si="2"/>
        <v>350000</v>
      </c>
      <c r="G20" s="34" t="s">
        <v>42</v>
      </c>
      <c r="H20" s="80">
        <v>0.6</v>
      </c>
      <c r="J20" s="149" t="s">
        <v>235</v>
      </c>
      <c r="K20" s="34" t="s">
        <v>233</v>
      </c>
      <c r="L20" s="149" t="s">
        <v>234</v>
      </c>
      <c r="M20" s="34" t="str">
        <f t="shared" si="3"/>
        <v>DXB(Dubai)</v>
      </c>
    </row>
    <row r="21" spans="1:13">
      <c r="A21" s="34" t="s">
        <v>282</v>
      </c>
      <c r="B21" s="149" t="s">
        <v>289</v>
      </c>
      <c r="C21" s="34" t="s">
        <v>42</v>
      </c>
      <c r="D21" s="150">
        <v>3000000</v>
      </c>
      <c r="E21" s="150">
        <f t="shared" si="2"/>
        <v>1800000</v>
      </c>
      <c r="G21" s="34" t="s">
        <v>41</v>
      </c>
      <c r="H21" s="80">
        <v>0.3</v>
      </c>
      <c r="J21" s="149" t="s">
        <v>231</v>
      </c>
      <c r="K21" s="34" t="s">
        <v>230</v>
      </c>
      <c r="L21" s="149" t="s">
        <v>232</v>
      </c>
      <c r="M21" s="34" t="str">
        <f t="shared" si="3"/>
        <v>BER(Berlin)</v>
      </c>
    </row>
    <row r="22" spans="1:13">
      <c r="A22" s="34" t="s">
        <v>283</v>
      </c>
      <c r="B22" s="149" t="s">
        <v>289</v>
      </c>
      <c r="C22" s="34" t="s">
        <v>41</v>
      </c>
      <c r="D22" s="88">
        <v>4000000</v>
      </c>
      <c r="E22" s="150">
        <f t="shared" si="2"/>
        <v>1200000</v>
      </c>
      <c r="G22" s="34" t="s">
        <v>273</v>
      </c>
      <c r="H22" s="80">
        <v>0.1</v>
      </c>
      <c r="J22" s="34" t="s">
        <v>223</v>
      </c>
      <c r="K22" s="34" t="s">
        <v>224</v>
      </c>
      <c r="L22" s="34" t="s">
        <v>236</v>
      </c>
      <c r="M22" s="34" t="str">
        <f t="shared" si="3"/>
        <v>YYZ(Pearson)</v>
      </c>
    </row>
    <row r="23" spans="1:13">
      <c r="A23" s="34" t="s">
        <v>284</v>
      </c>
      <c r="B23" s="34" t="s">
        <v>290</v>
      </c>
      <c r="C23" s="34" t="s">
        <v>277</v>
      </c>
      <c r="D23" s="150">
        <v>3000000</v>
      </c>
      <c r="E23" s="150">
        <f t="shared" si="2"/>
        <v>300000</v>
      </c>
      <c r="J23" s="149" t="s">
        <v>226</v>
      </c>
      <c r="K23" s="34" t="s">
        <v>225</v>
      </c>
      <c r="L23" s="149" t="s">
        <v>237</v>
      </c>
      <c r="M23" s="34" t="str">
        <f t="shared" si="3"/>
        <v>GRU(Sao-Paulo)</v>
      </c>
    </row>
    <row r="24" spans="1:13">
      <c r="A24" s="34" t="s">
        <v>285</v>
      </c>
      <c r="B24" s="34" t="s">
        <v>291</v>
      </c>
      <c r="C24" s="34" t="s">
        <v>276</v>
      </c>
      <c r="D24" s="150">
        <v>3500000</v>
      </c>
      <c r="E24" s="150">
        <f t="shared" si="2"/>
        <v>3500000</v>
      </c>
      <c r="J24" s="34" t="s">
        <v>219</v>
      </c>
      <c r="K24" s="34" t="s">
        <v>238</v>
      </c>
      <c r="L24" s="149" t="s">
        <v>212</v>
      </c>
      <c r="M24" s="34" t="str">
        <f t="shared" si="3"/>
        <v>PVG(Pudong)</v>
      </c>
    </row>
    <row r="25" spans="1:13">
      <c r="A25" s="34" t="s">
        <v>286</v>
      </c>
      <c r="B25" s="34" t="s">
        <v>291</v>
      </c>
      <c r="C25" s="34" t="s">
        <v>278</v>
      </c>
      <c r="D25" s="150">
        <v>4000000</v>
      </c>
      <c r="E25" s="88" t="str">
        <f>IFERROR(D25*VLOOKUP(C25,$G$19:$H$22,2,FALSE),"평가오류")</f>
        <v>평가오류</v>
      </c>
      <c r="J25" s="34" t="s">
        <v>222</v>
      </c>
      <c r="K25" s="149" t="s">
        <v>221</v>
      </c>
      <c r="L25" s="149" t="s">
        <v>240</v>
      </c>
      <c r="M25" s="34" t="str">
        <f t="shared" si="3"/>
        <v>LAX(Los-Angeles)</v>
      </c>
    </row>
    <row r="26" spans="1:13">
      <c r="A26" s="34" t="s">
        <v>287</v>
      </c>
      <c r="B26" s="149" t="s">
        <v>291</v>
      </c>
      <c r="C26" s="34" t="s">
        <v>42</v>
      </c>
      <c r="D26" s="150">
        <v>3000000</v>
      </c>
      <c r="E26" s="150">
        <f t="shared" si="2"/>
        <v>1800000</v>
      </c>
      <c r="J26" s="34" t="s">
        <v>227</v>
      </c>
      <c r="K26" s="34" t="s">
        <v>228</v>
      </c>
      <c r="L26" s="34" t="s">
        <v>229</v>
      </c>
      <c r="M26" s="34" t="str">
        <f t="shared" si="3"/>
        <v>SYD(Sydney)</v>
      </c>
    </row>
    <row r="27" spans="1:13">
      <c r="A27" s="34" t="s">
        <v>288</v>
      </c>
      <c r="B27" s="34" t="s">
        <v>291</v>
      </c>
      <c r="C27" s="34" t="s">
        <v>41</v>
      </c>
      <c r="D27" s="150">
        <v>3500000</v>
      </c>
      <c r="E27" s="150">
        <f t="shared" si="2"/>
        <v>1050000</v>
      </c>
    </row>
    <row r="29" spans="1:13">
      <c r="A29" s="7" t="s">
        <v>209</v>
      </c>
      <c r="B29" s="8" t="s">
        <v>293</v>
      </c>
      <c r="C29" s="126"/>
      <c r="D29" s="127"/>
    </row>
    <row r="30" spans="1:13">
      <c r="A30" s="128" t="s">
        <v>296</v>
      </c>
      <c r="B30" s="128" t="s">
        <v>294</v>
      </c>
      <c r="C30" s="128" t="s">
        <v>295</v>
      </c>
      <c r="D30" s="129" t="s">
        <v>292</v>
      </c>
    </row>
    <row r="31" spans="1:13">
      <c r="A31" s="130" t="s">
        <v>297</v>
      </c>
      <c r="B31" s="131">
        <v>0.46527777777777773</v>
      </c>
      <c r="C31" s="131">
        <v>0.4861111111111111</v>
      </c>
      <c r="D31" s="132">
        <f>(HOUR(C31-B31)*60+MINUTE(C31-B31))/10*1000</f>
        <v>3000</v>
      </c>
    </row>
    <row r="32" spans="1:13">
      <c r="A32" s="130" t="s">
        <v>298</v>
      </c>
      <c r="B32" s="131">
        <v>0.42708333333333331</v>
      </c>
      <c r="C32" s="131">
        <v>0.4548611111111111</v>
      </c>
      <c r="D32" s="132">
        <f t="shared" ref="D32:D38" si="4">(HOUR(C32-B32)*60+MINUTE(C32-B32))/10*1000</f>
        <v>4000</v>
      </c>
    </row>
    <row r="33" spans="1:4">
      <c r="A33" s="130" t="s">
        <v>299</v>
      </c>
      <c r="B33" s="131">
        <v>0.3888888888888889</v>
      </c>
      <c r="C33" s="131">
        <v>0.47222222222222227</v>
      </c>
      <c r="D33" s="132">
        <f t="shared" si="4"/>
        <v>12000</v>
      </c>
    </row>
    <row r="34" spans="1:4">
      <c r="A34" s="130" t="s">
        <v>300</v>
      </c>
      <c r="B34" s="131">
        <v>0.59375</v>
      </c>
      <c r="C34" s="131">
        <v>0.67708333333333337</v>
      </c>
      <c r="D34" s="132">
        <f t="shared" si="4"/>
        <v>12000</v>
      </c>
    </row>
    <row r="35" spans="1:4">
      <c r="A35" s="130" t="s">
        <v>301</v>
      </c>
      <c r="B35" s="131">
        <v>0.41666666666666669</v>
      </c>
      <c r="C35" s="131">
        <v>0.5625</v>
      </c>
      <c r="D35" s="132">
        <f t="shared" si="4"/>
        <v>21000</v>
      </c>
    </row>
    <row r="36" spans="1:4">
      <c r="A36" s="130" t="s">
        <v>302</v>
      </c>
      <c r="B36" s="131">
        <v>0.70833333333333337</v>
      </c>
      <c r="C36" s="131">
        <v>0.75694444444444453</v>
      </c>
      <c r="D36" s="132">
        <f t="shared" si="4"/>
        <v>7000</v>
      </c>
    </row>
    <row r="37" spans="1:4">
      <c r="A37" s="130" t="s">
        <v>303</v>
      </c>
      <c r="B37" s="131">
        <v>0.65625</v>
      </c>
      <c r="C37" s="131">
        <v>0.71180555555555547</v>
      </c>
      <c r="D37" s="132">
        <f t="shared" si="4"/>
        <v>8000</v>
      </c>
    </row>
    <row r="38" spans="1:4">
      <c r="A38" s="130" t="s">
        <v>304</v>
      </c>
      <c r="B38" s="131">
        <v>0.77083333333333337</v>
      </c>
      <c r="C38" s="131">
        <v>0.84722222222222221</v>
      </c>
      <c r="D38" s="132">
        <f t="shared" si="4"/>
        <v>11000</v>
      </c>
    </row>
  </sheetData>
  <mergeCells count="2">
    <mergeCell ref="A12:A13"/>
    <mergeCell ref="I13:L13"/>
  </mergeCells>
  <phoneticPr fontId="4" type="noConversion"/>
  <pageMargins left="0.7" right="0.7" top="0.75" bottom="0.75" header="0.3" footer="0.3"/>
  <ignoredErrors>
    <ignoredError sqref="E2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4"/>
  <sheetViews>
    <sheetView topLeftCell="A19" zoomScaleNormal="100" workbookViewId="0">
      <selection activeCell="D52" sqref="D52"/>
    </sheetView>
  </sheetViews>
  <sheetFormatPr defaultRowHeight="16.5"/>
  <cols>
    <col min="1" max="1" width="10.375" bestFit="1" customWidth="1"/>
    <col min="2" max="2" width="13.375" customWidth="1"/>
    <col min="3" max="3" width="11.125" bestFit="1" customWidth="1"/>
    <col min="4" max="4" width="12.375" bestFit="1" customWidth="1"/>
    <col min="5" max="5" width="10.625" bestFit="1" customWidth="1"/>
    <col min="8" max="9" width="12.875" customWidth="1"/>
    <col min="10" max="10" width="16.25" customWidth="1"/>
  </cols>
  <sheetData>
    <row r="1" spans="1:11">
      <c r="A1" s="7" t="s">
        <v>39</v>
      </c>
      <c r="B1" s="8" t="s">
        <v>387</v>
      </c>
      <c r="C1" s="7"/>
      <c r="D1" s="7"/>
      <c r="F1" s="7" t="s">
        <v>29</v>
      </c>
      <c r="G1" s="8" t="s">
        <v>388</v>
      </c>
      <c r="H1" s="65"/>
      <c r="I1" s="65"/>
    </row>
    <row r="2" spans="1:11">
      <c r="A2" s="6" t="s">
        <v>107</v>
      </c>
      <c r="B2" s="5" t="s">
        <v>1</v>
      </c>
      <c r="C2" s="5" t="s">
        <v>389</v>
      </c>
      <c r="D2" s="5" t="s">
        <v>103</v>
      </c>
      <c r="F2" s="66" t="s">
        <v>390</v>
      </c>
      <c r="G2" s="66" t="s">
        <v>389</v>
      </c>
      <c r="H2" s="66" t="s">
        <v>44</v>
      </c>
    </row>
    <row r="3" spans="1:11">
      <c r="A3" s="1" t="s">
        <v>391</v>
      </c>
      <c r="B3" s="1" t="s">
        <v>392</v>
      </c>
      <c r="C3" s="12">
        <v>25</v>
      </c>
      <c r="D3" s="12">
        <v>55</v>
      </c>
      <c r="F3" s="66">
        <v>1199</v>
      </c>
      <c r="G3" s="66">
        <v>31</v>
      </c>
      <c r="H3" s="74">
        <v>9.1817129629629624E-2</v>
      </c>
    </row>
    <row r="4" spans="1:11">
      <c r="A4" s="1" t="s">
        <v>393</v>
      </c>
      <c r="B4" s="1" t="s">
        <v>394</v>
      </c>
      <c r="C4" s="12">
        <v>23</v>
      </c>
      <c r="D4" s="12">
        <v>54</v>
      </c>
      <c r="F4" s="66">
        <v>2776</v>
      </c>
      <c r="G4" s="66">
        <v>36</v>
      </c>
      <c r="H4" s="74">
        <v>8.9328703703703702E-2</v>
      </c>
    </row>
    <row r="5" spans="1:11">
      <c r="A5" s="1" t="s">
        <v>395</v>
      </c>
      <c r="B5" s="1" t="s">
        <v>396</v>
      </c>
      <c r="C5" s="12">
        <v>20</v>
      </c>
      <c r="D5" s="12">
        <v>50</v>
      </c>
      <c r="F5" s="66">
        <v>3584</v>
      </c>
      <c r="G5" s="66">
        <v>29</v>
      </c>
      <c r="H5" s="74">
        <v>9.1377314814814814E-2</v>
      </c>
    </row>
    <row r="6" spans="1:11">
      <c r="A6" s="1" t="s">
        <v>391</v>
      </c>
      <c r="B6" s="1" t="s">
        <v>397</v>
      </c>
      <c r="C6" s="12">
        <v>33</v>
      </c>
      <c r="D6" s="12">
        <v>55</v>
      </c>
      <c r="F6" s="66">
        <v>1731</v>
      </c>
      <c r="G6" s="66">
        <v>23</v>
      </c>
      <c r="H6" s="74">
        <v>9.3078703703703705E-2</v>
      </c>
    </row>
    <row r="7" spans="1:11">
      <c r="A7" s="1" t="s">
        <v>395</v>
      </c>
      <c r="B7" s="1" t="s">
        <v>398</v>
      </c>
      <c r="C7" s="12">
        <v>22</v>
      </c>
      <c r="D7" s="12">
        <v>56</v>
      </c>
      <c r="F7" s="66">
        <v>3024</v>
      </c>
      <c r="G7" s="66">
        <v>32</v>
      </c>
      <c r="H7" s="74">
        <v>9.0254629629629643E-2</v>
      </c>
    </row>
    <row r="8" spans="1:11">
      <c r="A8" s="1" t="s">
        <v>393</v>
      </c>
      <c r="B8" s="1" t="s">
        <v>399</v>
      </c>
      <c r="C8" s="12">
        <v>28</v>
      </c>
      <c r="D8" s="12">
        <v>53</v>
      </c>
      <c r="F8" s="66">
        <v>2176</v>
      </c>
      <c r="G8" s="66">
        <v>32</v>
      </c>
      <c r="H8" s="74">
        <v>9.4537037037037031E-2</v>
      </c>
    </row>
    <row r="9" spans="1:11">
      <c r="A9" s="1" t="s">
        <v>395</v>
      </c>
      <c r="B9" s="1" t="s">
        <v>400</v>
      </c>
      <c r="C9" s="12">
        <v>25</v>
      </c>
      <c r="D9" s="12">
        <v>54</v>
      </c>
      <c r="F9" s="66">
        <v>1749</v>
      </c>
      <c r="G9" s="66">
        <v>27</v>
      </c>
      <c r="H9" s="74">
        <v>9.2615740740740748E-2</v>
      </c>
      <c r="J9" s="201" t="s">
        <v>1048</v>
      </c>
      <c r="K9" s="201"/>
    </row>
    <row r="10" spans="1:11">
      <c r="A10" s="1" t="s">
        <v>391</v>
      </c>
      <c r="B10" s="1" t="s">
        <v>401</v>
      </c>
      <c r="C10" s="12">
        <v>20</v>
      </c>
      <c r="D10" s="12">
        <v>53</v>
      </c>
      <c r="F10" s="66">
        <v>1188</v>
      </c>
      <c r="G10" s="66">
        <v>32</v>
      </c>
      <c r="H10" s="74">
        <v>9.0277777777777776E-2</v>
      </c>
      <c r="J10" s="191" t="str">
        <f>HOUR(SMALL(H3:H12,1))&amp;"시간"&amp;MINUTE(SMALL(H3:H12,1))&amp;"분"&amp;SECOND(SMALL(H3:H12,1))&amp;"초"</f>
        <v>2시간8분38초</v>
      </c>
      <c r="K10" s="191"/>
    </row>
    <row r="11" spans="1:11">
      <c r="A11" s="1" t="s">
        <v>393</v>
      </c>
      <c r="B11" s="1" t="s">
        <v>402</v>
      </c>
      <c r="C11" s="12">
        <v>32</v>
      </c>
      <c r="D11" s="12">
        <v>51</v>
      </c>
      <c r="F11" s="66">
        <v>2425</v>
      </c>
      <c r="G11" s="66">
        <v>24</v>
      </c>
      <c r="H11" s="74">
        <v>9.3877314814814816E-2</v>
      </c>
    </row>
    <row r="12" spans="1:11">
      <c r="F12" s="66">
        <v>3104</v>
      </c>
      <c r="G12" s="66">
        <v>31</v>
      </c>
      <c r="H12" s="74">
        <v>9.5185185185185192E-2</v>
      </c>
    </row>
    <row r="13" spans="1:11">
      <c r="A13" s="31" t="s">
        <v>403</v>
      </c>
    </row>
    <row r="14" spans="1:11">
      <c r="A14" s="3" t="s">
        <v>107</v>
      </c>
      <c r="B14" s="197" t="s">
        <v>404</v>
      </c>
      <c r="C14" s="198"/>
      <c r="D14" s="12">
        <f>ROUND(DAVERAGE(A2:D11,D2,A14:A15),2)</f>
        <v>53.33</v>
      </c>
    </row>
    <row r="15" spans="1:11">
      <c r="A15" s="1" t="s">
        <v>395</v>
      </c>
      <c r="B15" s="16"/>
      <c r="C15" s="16"/>
      <c r="D15" s="16"/>
    </row>
    <row r="17" spans="1:12">
      <c r="A17" s="7" t="s">
        <v>30</v>
      </c>
      <c r="B17" s="8" t="s">
        <v>405</v>
      </c>
      <c r="G17" s="7" t="s">
        <v>406</v>
      </c>
      <c r="H17" s="8" t="s">
        <v>407</v>
      </c>
    </row>
    <row r="18" spans="1:12">
      <c r="A18" s="155" t="s">
        <v>408</v>
      </c>
      <c r="B18" s="155" t="s">
        <v>61</v>
      </c>
      <c r="C18" s="155" t="s">
        <v>409</v>
      </c>
      <c r="D18" s="155" t="s">
        <v>410</v>
      </c>
      <c r="E18" s="160" t="s">
        <v>60</v>
      </c>
      <c r="G18" s="155" t="s">
        <v>76</v>
      </c>
      <c r="H18" s="107" t="s">
        <v>411</v>
      </c>
      <c r="I18" s="107" t="s">
        <v>412</v>
      </c>
      <c r="J18" s="107" t="s">
        <v>413</v>
      </c>
      <c r="K18" s="160" t="s">
        <v>414</v>
      </c>
    </row>
    <row r="19" spans="1:12">
      <c r="A19" s="155" t="s">
        <v>415</v>
      </c>
      <c r="B19" s="155">
        <v>8</v>
      </c>
      <c r="C19" s="95">
        <v>0.45833333333333331</v>
      </c>
      <c r="D19" s="95">
        <v>0.52083333333333304</v>
      </c>
      <c r="E19" s="150">
        <f t="shared" ref="E19:E27" si="0">(HOUR(D19-C19)*60+MINUTE(D19-C19))/10*1000</f>
        <v>9000</v>
      </c>
      <c r="G19" s="155" t="s">
        <v>416</v>
      </c>
      <c r="H19" s="106">
        <v>28</v>
      </c>
      <c r="I19" s="105">
        <v>30</v>
      </c>
      <c r="J19" s="104">
        <v>15</v>
      </c>
      <c r="K19" s="155" t="str">
        <f t="shared" ref="K19:K27" si="1">HLOOKUP(SUM(H19:J19),$H$30:$L$32,3,TRUE)</f>
        <v>A</v>
      </c>
    </row>
    <row r="20" spans="1:12">
      <c r="A20" s="155" t="s">
        <v>417</v>
      </c>
      <c r="B20" s="155">
        <v>7</v>
      </c>
      <c r="C20" s="95">
        <v>0.45833333333333331</v>
      </c>
      <c r="D20" s="95">
        <v>0.52083333333333337</v>
      </c>
      <c r="E20" s="150">
        <f t="shared" si="0"/>
        <v>9000</v>
      </c>
      <c r="G20" s="155" t="s">
        <v>320</v>
      </c>
      <c r="H20" s="103">
        <v>30</v>
      </c>
      <c r="I20" s="102">
        <v>25</v>
      </c>
      <c r="J20" s="101">
        <v>14</v>
      </c>
      <c r="K20" s="155" t="str">
        <f t="shared" si="1"/>
        <v>B</v>
      </c>
    </row>
    <row r="21" spans="1:12">
      <c r="A21" s="155" t="s">
        <v>418</v>
      </c>
      <c r="B21" s="155">
        <v>9</v>
      </c>
      <c r="C21" s="95">
        <v>0.46527777777777773</v>
      </c>
      <c r="D21" s="95">
        <v>0.54861111111111105</v>
      </c>
      <c r="E21" s="150">
        <f t="shared" si="0"/>
        <v>12000</v>
      </c>
      <c r="G21" s="155" t="s">
        <v>419</v>
      </c>
      <c r="H21" s="103">
        <v>28</v>
      </c>
      <c r="I21" s="102">
        <v>20</v>
      </c>
      <c r="J21" s="101">
        <v>16</v>
      </c>
      <c r="K21" s="155" t="str">
        <f t="shared" si="1"/>
        <v>B</v>
      </c>
    </row>
    <row r="22" spans="1:12">
      <c r="A22" s="155" t="s">
        <v>420</v>
      </c>
      <c r="B22" s="155">
        <v>10</v>
      </c>
      <c r="C22" s="95">
        <v>0.46527777777777773</v>
      </c>
      <c r="D22" s="95">
        <v>0.56944444444444442</v>
      </c>
      <c r="E22" s="150">
        <f t="shared" si="0"/>
        <v>15000</v>
      </c>
      <c r="G22" s="155" t="s">
        <v>421</v>
      </c>
      <c r="H22" s="103">
        <v>18</v>
      </c>
      <c r="I22" s="102">
        <v>30</v>
      </c>
      <c r="J22" s="101">
        <v>15</v>
      </c>
      <c r="K22" s="155" t="str">
        <f t="shared" si="1"/>
        <v>B</v>
      </c>
    </row>
    <row r="23" spans="1:12">
      <c r="A23" s="155" t="s">
        <v>422</v>
      </c>
      <c r="B23" s="155">
        <v>8</v>
      </c>
      <c r="C23" s="95">
        <v>0.47916666666666669</v>
      </c>
      <c r="D23" s="95">
        <v>0.5625</v>
      </c>
      <c r="E23" s="150">
        <f t="shared" si="0"/>
        <v>12000</v>
      </c>
      <c r="G23" s="155" t="s">
        <v>182</v>
      </c>
      <c r="H23" s="103">
        <v>26</v>
      </c>
      <c r="I23" s="102">
        <v>20</v>
      </c>
      <c r="J23" s="101">
        <v>12</v>
      </c>
      <c r="K23" s="155" t="str">
        <f t="shared" si="1"/>
        <v>C</v>
      </c>
    </row>
    <row r="24" spans="1:12">
      <c r="A24" s="155" t="s">
        <v>423</v>
      </c>
      <c r="B24" s="155">
        <v>8</v>
      </c>
      <c r="C24" s="95">
        <v>0.4861111111111111</v>
      </c>
      <c r="D24" s="95">
        <v>0.57638888888888895</v>
      </c>
      <c r="E24" s="150">
        <f t="shared" si="0"/>
        <v>13000</v>
      </c>
      <c r="G24" s="155" t="s">
        <v>424</v>
      </c>
      <c r="H24" s="103">
        <v>32</v>
      </c>
      <c r="I24" s="102">
        <v>35</v>
      </c>
      <c r="J24" s="101">
        <v>17</v>
      </c>
      <c r="K24" s="155" t="str">
        <f t="shared" si="1"/>
        <v>A</v>
      </c>
    </row>
    <row r="25" spans="1:12">
      <c r="A25" s="155" t="s">
        <v>425</v>
      </c>
      <c r="B25" s="155">
        <v>7</v>
      </c>
      <c r="C25" s="95">
        <v>0.49305555555555558</v>
      </c>
      <c r="D25" s="95">
        <v>0.58333333333333337</v>
      </c>
      <c r="E25" s="150">
        <f t="shared" si="0"/>
        <v>13000</v>
      </c>
      <c r="G25" s="155" t="s">
        <v>426</v>
      </c>
      <c r="H25" s="103">
        <v>20</v>
      </c>
      <c r="I25" s="102">
        <v>15</v>
      </c>
      <c r="J25" s="101">
        <v>10</v>
      </c>
      <c r="K25" s="155" t="str">
        <f t="shared" si="1"/>
        <v>D</v>
      </c>
    </row>
    <row r="26" spans="1:12">
      <c r="A26" s="155" t="s">
        <v>427</v>
      </c>
      <c r="B26" s="155">
        <v>6</v>
      </c>
      <c r="C26" s="95">
        <v>0.49305555555555558</v>
      </c>
      <c r="D26" s="95">
        <v>0.60416666666666663</v>
      </c>
      <c r="E26" s="150">
        <f t="shared" si="0"/>
        <v>16000</v>
      </c>
      <c r="G26" s="155" t="s">
        <v>428</v>
      </c>
      <c r="H26" s="103">
        <v>16</v>
      </c>
      <c r="I26" s="102">
        <v>25</v>
      </c>
      <c r="J26" s="101">
        <v>15</v>
      </c>
      <c r="K26" s="155" t="str">
        <f t="shared" si="1"/>
        <v>C</v>
      </c>
    </row>
    <row r="27" spans="1:12">
      <c r="A27" s="155" t="s">
        <v>429</v>
      </c>
      <c r="B27" s="155">
        <v>9</v>
      </c>
      <c r="C27" s="95">
        <v>0.5</v>
      </c>
      <c r="D27" s="95">
        <v>0.58333333333333337</v>
      </c>
      <c r="E27" s="150">
        <f t="shared" si="0"/>
        <v>12000</v>
      </c>
      <c r="G27" s="155" t="s">
        <v>430</v>
      </c>
      <c r="H27" s="103">
        <v>26</v>
      </c>
      <c r="I27" s="102">
        <v>30</v>
      </c>
      <c r="J27" s="101">
        <v>16</v>
      </c>
      <c r="K27" s="155" t="str">
        <f t="shared" si="1"/>
        <v>A</v>
      </c>
    </row>
    <row r="29" spans="1:12">
      <c r="A29" s="7" t="s">
        <v>209</v>
      </c>
      <c r="B29" s="8" t="s">
        <v>431</v>
      </c>
      <c r="C29" s="133"/>
      <c r="D29" s="133"/>
      <c r="E29" s="133"/>
      <c r="G29" s="100" t="s">
        <v>432</v>
      </c>
    </row>
    <row r="30" spans="1:12">
      <c r="A30" s="157" t="s">
        <v>433</v>
      </c>
      <c r="B30" s="157" t="s">
        <v>434</v>
      </c>
      <c r="C30" s="157" t="s">
        <v>435</v>
      </c>
      <c r="D30" s="157" t="s">
        <v>100</v>
      </c>
      <c r="E30" s="128" t="s">
        <v>436</v>
      </c>
      <c r="G30" s="199" t="s">
        <v>75</v>
      </c>
      <c r="H30" s="99">
        <v>0</v>
      </c>
      <c r="I30" s="99">
        <v>40</v>
      </c>
      <c r="J30" s="99">
        <v>50</v>
      </c>
      <c r="K30" s="99">
        <v>60</v>
      </c>
      <c r="L30" s="99">
        <v>70</v>
      </c>
    </row>
    <row r="31" spans="1:12">
      <c r="A31" s="157" t="s">
        <v>437</v>
      </c>
      <c r="B31" s="157" t="s">
        <v>438</v>
      </c>
      <c r="C31" s="13">
        <v>15000</v>
      </c>
      <c r="D31" s="13">
        <v>18</v>
      </c>
      <c r="E31" s="134">
        <f>C31*D31</f>
        <v>270000</v>
      </c>
      <c r="G31" s="200"/>
      <c r="H31" s="98">
        <v>40</v>
      </c>
      <c r="I31" s="98">
        <v>50</v>
      </c>
      <c r="J31" s="98">
        <v>60</v>
      </c>
      <c r="K31" s="98">
        <v>70</v>
      </c>
      <c r="L31" s="98"/>
    </row>
    <row r="32" spans="1:12">
      <c r="A32" s="157" t="s">
        <v>439</v>
      </c>
      <c r="B32" s="157" t="s">
        <v>440</v>
      </c>
      <c r="C32" s="13">
        <v>18500</v>
      </c>
      <c r="D32" s="13">
        <v>24</v>
      </c>
      <c r="E32" s="134">
        <f t="shared" ref="E32:E39" si="2">C32*D32</f>
        <v>444000</v>
      </c>
      <c r="G32" s="155" t="s">
        <v>441</v>
      </c>
      <c r="H32" s="155" t="s">
        <v>442</v>
      </c>
      <c r="I32" s="155" t="s">
        <v>443</v>
      </c>
      <c r="J32" s="155" t="s">
        <v>444</v>
      </c>
      <c r="K32" s="155" t="s">
        <v>445</v>
      </c>
      <c r="L32" s="155" t="s">
        <v>446</v>
      </c>
    </row>
    <row r="33" spans="1:5">
      <c r="A33" s="157" t="s">
        <v>447</v>
      </c>
      <c r="B33" s="157" t="s">
        <v>448</v>
      </c>
      <c r="C33" s="13">
        <v>16500</v>
      </c>
      <c r="D33" s="13">
        <v>15</v>
      </c>
      <c r="E33" s="134">
        <f t="shared" si="2"/>
        <v>247500</v>
      </c>
    </row>
    <row r="34" spans="1:5">
      <c r="A34" s="157" t="s">
        <v>449</v>
      </c>
      <c r="B34" s="157" t="s">
        <v>450</v>
      </c>
      <c r="C34" s="13">
        <v>18500</v>
      </c>
      <c r="D34" s="135">
        <v>9</v>
      </c>
      <c r="E34" s="134">
        <f t="shared" si="2"/>
        <v>166500</v>
      </c>
    </row>
    <row r="35" spans="1:5">
      <c r="A35" s="157" t="s">
        <v>447</v>
      </c>
      <c r="B35" s="157" t="s">
        <v>451</v>
      </c>
      <c r="C35" s="13">
        <v>15000</v>
      </c>
      <c r="D35" s="13">
        <v>12</v>
      </c>
      <c r="E35" s="134">
        <f t="shared" si="2"/>
        <v>180000</v>
      </c>
    </row>
    <row r="36" spans="1:5">
      <c r="A36" s="157" t="s">
        <v>452</v>
      </c>
      <c r="B36" s="157" t="s">
        <v>453</v>
      </c>
      <c r="C36" s="13">
        <v>18500</v>
      </c>
      <c r="D36" s="135">
        <v>14</v>
      </c>
      <c r="E36" s="134">
        <f t="shared" si="2"/>
        <v>259000</v>
      </c>
    </row>
    <row r="37" spans="1:5">
      <c r="A37" s="157" t="s">
        <v>454</v>
      </c>
      <c r="B37" s="157" t="s">
        <v>455</v>
      </c>
      <c r="C37" s="13">
        <v>16500</v>
      </c>
      <c r="D37" s="135">
        <v>10</v>
      </c>
      <c r="E37" s="134">
        <f t="shared" si="2"/>
        <v>165000</v>
      </c>
    </row>
    <row r="38" spans="1:5">
      <c r="A38" s="157" t="s">
        <v>452</v>
      </c>
      <c r="B38" s="157" t="s">
        <v>456</v>
      </c>
      <c r="C38" s="13">
        <v>15000</v>
      </c>
      <c r="D38" s="135">
        <v>21</v>
      </c>
      <c r="E38" s="134">
        <f t="shared" si="2"/>
        <v>315000</v>
      </c>
    </row>
    <row r="39" spans="1:5">
      <c r="A39" s="157" t="s">
        <v>457</v>
      </c>
      <c r="B39" s="157" t="s">
        <v>458</v>
      </c>
      <c r="C39" s="13">
        <v>16500</v>
      </c>
      <c r="D39" s="135">
        <v>15</v>
      </c>
      <c r="E39" s="134">
        <f t="shared" si="2"/>
        <v>247500</v>
      </c>
    </row>
    <row r="40" spans="1:5">
      <c r="A40" s="133"/>
      <c r="B40" s="133"/>
      <c r="C40" s="133"/>
      <c r="D40" s="133"/>
      <c r="E40" s="133"/>
    </row>
    <row r="41" spans="1:5">
      <c r="A41" s="136" t="s">
        <v>459</v>
      </c>
      <c r="B41" s="136" t="s">
        <v>460</v>
      </c>
      <c r="C41" s="133"/>
      <c r="D41" s="133"/>
      <c r="E41" s="133"/>
    </row>
    <row r="42" spans="1:5">
      <c r="A42" s="157" t="s">
        <v>461</v>
      </c>
      <c r="B42" s="157">
        <f>SUMIF($A$31:$A$39,A42,$D$31:$D$39)</f>
        <v>37</v>
      </c>
      <c r="C42" s="133"/>
      <c r="D42" s="133"/>
      <c r="E42" s="133"/>
    </row>
    <row r="43" spans="1:5">
      <c r="A43" s="157" t="s">
        <v>447</v>
      </c>
      <c r="B43" s="157">
        <f>SUMIF($A$31:$A$39,A43,$D$31:$D$39)</f>
        <v>42</v>
      </c>
      <c r="C43" s="133"/>
      <c r="D43" s="133"/>
      <c r="E43" s="133"/>
    </row>
    <row r="44" spans="1:5">
      <c r="A44" s="157" t="s">
        <v>452</v>
      </c>
      <c r="B44" s="157">
        <f>SUMIF($A$31:$A$39,A44,$D$31:$D$39)</f>
        <v>59</v>
      </c>
      <c r="C44" s="133"/>
      <c r="D44" s="133"/>
      <c r="E44" s="133"/>
    </row>
  </sheetData>
  <sortState xmlns:xlrd2="http://schemas.microsoft.com/office/spreadsheetml/2017/richdata2" ref="A3:E11">
    <sortCondition ref="E3:E11"/>
  </sortState>
  <mergeCells count="4">
    <mergeCell ref="B14:C14"/>
    <mergeCell ref="G30:G31"/>
    <mergeCell ref="J10:K10"/>
    <mergeCell ref="J9:K9"/>
  </mergeCells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9"/>
  <sheetViews>
    <sheetView workbookViewId="0">
      <selection activeCell="E26" sqref="E26:F26"/>
    </sheetView>
  </sheetViews>
  <sheetFormatPr defaultRowHeight="16.5"/>
  <cols>
    <col min="1" max="1" width="9.875" customWidth="1"/>
    <col min="2" max="2" width="13.875" bestFit="1" customWidth="1"/>
    <col min="3" max="3" width="10.375" bestFit="1" customWidth="1"/>
    <col min="4" max="4" width="10.625" bestFit="1" customWidth="1"/>
    <col min="5" max="5" width="10.625" customWidth="1"/>
    <col min="7" max="7" width="9.375" customWidth="1"/>
    <col min="8" max="8" width="10.5" customWidth="1"/>
    <col min="9" max="9" width="12.375" bestFit="1" customWidth="1"/>
    <col min="10" max="10" width="9.875" bestFit="1" customWidth="1"/>
  </cols>
  <sheetData>
    <row r="1" spans="1:11">
      <c r="A1" s="7" t="s">
        <v>308</v>
      </c>
      <c r="B1" s="8" t="s">
        <v>309</v>
      </c>
      <c r="C1" s="7"/>
      <c r="D1" s="9"/>
      <c r="G1" s="7" t="s">
        <v>29</v>
      </c>
      <c r="H1" s="8" t="s">
        <v>45</v>
      </c>
      <c r="I1" s="65"/>
      <c r="J1" s="202" t="s">
        <v>310</v>
      </c>
      <c r="K1" s="203"/>
    </row>
    <row r="2" spans="1:11">
      <c r="A2" s="5" t="s">
        <v>311</v>
      </c>
      <c r="B2" s="32" t="s">
        <v>312</v>
      </c>
      <c r="C2" s="32" t="s">
        <v>1041</v>
      </c>
      <c r="D2" s="32" t="s">
        <v>1042</v>
      </c>
      <c r="E2" s="11" t="s">
        <v>6</v>
      </c>
      <c r="G2" s="66" t="s">
        <v>313</v>
      </c>
      <c r="H2" s="73" t="s">
        <v>314</v>
      </c>
      <c r="I2" s="65"/>
      <c r="J2" s="66" t="s">
        <v>315</v>
      </c>
      <c r="K2" s="66" t="s">
        <v>316</v>
      </c>
    </row>
    <row r="3" spans="1:11">
      <c r="A3" s="1" t="s">
        <v>317</v>
      </c>
      <c r="B3" s="13">
        <v>9</v>
      </c>
      <c r="C3" s="33">
        <v>45</v>
      </c>
      <c r="D3" s="33">
        <v>42</v>
      </c>
      <c r="E3" s="155" t="str">
        <f>IF(AND(B3&lt;10,COUNTIF(C3:D3,"&gt;=40")&gt;=1),"★","")</f>
        <v>★</v>
      </c>
      <c r="G3" s="75" t="s">
        <v>318</v>
      </c>
      <c r="H3" s="66" t="str">
        <f>VLOOKUP(MOD(RIGHT(G3,1),5),$J$3:$K$7,2,FALSE)</f>
        <v>금요일</v>
      </c>
      <c r="I3" s="76"/>
      <c r="J3" s="77">
        <v>1</v>
      </c>
      <c r="K3" s="66" t="s">
        <v>319</v>
      </c>
    </row>
    <row r="4" spans="1:11">
      <c r="A4" s="1" t="s">
        <v>320</v>
      </c>
      <c r="B4" s="13">
        <v>16</v>
      </c>
      <c r="C4" s="33">
        <v>51</v>
      </c>
      <c r="D4" s="33">
        <v>60</v>
      </c>
      <c r="E4" s="155" t="str">
        <f t="shared" ref="E4:E9" si="0">IF(AND(B4&lt;10,COUNTIF(C4:D4,"&gt;=40")&gt;=1),"★","")</f>
        <v/>
      </c>
      <c r="G4" s="75" t="s">
        <v>321</v>
      </c>
      <c r="H4" s="66" t="str">
        <f>VLOOKUP(MOD(RIGHT(G4,1),5),$J$3:$K$7,2,FALSE)</f>
        <v>목요일</v>
      </c>
      <c r="I4" s="76"/>
      <c r="J4" s="77">
        <v>2</v>
      </c>
      <c r="K4" s="66" t="s">
        <v>322</v>
      </c>
    </row>
    <row r="5" spans="1:11">
      <c r="A5" s="1" t="s">
        <v>323</v>
      </c>
      <c r="B5" s="13">
        <v>8</v>
      </c>
      <c r="C5" s="33">
        <v>28</v>
      </c>
      <c r="D5" s="33">
        <v>34</v>
      </c>
      <c r="E5" s="155" t="str">
        <f t="shared" si="0"/>
        <v/>
      </c>
      <c r="G5" s="75" t="s">
        <v>324</v>
      </c>
      <c r="H5" s="66" t="str">
        <f>VLOOKUP(MOD(RIGHT(G5,1),5),$J$3:$K$7,2,FALSE)</f>
        <v>수요일</v>
      </c>
      <c r="I5" s="76"/>
      <c r="J5" s="77">
        <v>3</v>
      </c>
      <c r="K5" s="66" t="s">
        <v>325</v>
      </c>
    </row>
    <row r="6" spans="1:11">
      <c r="A6" s="1" t="s">
        <v>326</v>
      </c>
      <c r="B6" s="13">
        <v>12</v>
      </c>
      <c r="C6" s="33">
        <v>45</v>
      </c>
      <c r="D6" s="33">
        <v>55</v>
      </c>
      <c r="E6" s="155" t="str">
        <f t="shared" si="0"/>
        <v/>
      </c>
      <c r="G6" s="75" t="s">
        <v>327</v>
      </c>
      <c r="H6" s="66" t="str">
        <f>VLOOKUP(MOD(RIGHT(G6,1),5),$J$3:$K$7,2,FALSE)</f>
        <v>화요일</v>
      </c>
      <c r="I6" s="76"/>
      <c r="J6" s="77">
        <v>4</v>
      </c>
      <c r="K6" s="66" t="s">
        <v>328</v>
      </c>
    </row>
    <row r="7" spans="1:11">
      <c r="A7" s="1" t="s">
        <v>329</v>
      </c>
      <c r="B7" s="13">
        <v>9</v>
      </c>
      <c r="C7" s="33">
        <v>42</v>
      </c>
      <c r="D7" s="33">
        <v>58</v>
      </c>
      <c r="E7" s="155" t="str">
        <f t="shared" si="0"/>
        <v>★</v>
      </c>
      <c r="G7" s="75" t="s">
        <v>330</v>
      </c>
      <c r="H7" s="66" t="str">
        <f>VLOOKUP(MOD(RIGHT(G7,1),5),$J$3:$K$7,2,FALSE)</f>
        <v>월요일</v>
      </c>
      <c r="I7" s="76"/>
      <c r="J7" s="77">
        <v>0</v>
      </c>
      <c r="K7" s="66" t="s">
        <v>331</v>
      </c>
    </row>
    <row r="8" spans="1:11">
      <c r="A8" s="1" t="s">
        <v>332</v>
      </c>
      <c r="B8" s="13">
        <v>7</v>
      </c>
      <c r="C8" s="33">
        <v>35</v>
      </c>
      <c r="D8" s="33">
        <v>39</v>
      </c>
      <c r="E8" s="155" t="str">
        <f t="shared" si="0"/>
        <v/>
      </c>
    </row>
    <row r="9" spans="1:11">
      <c r="A9" s="1" t="s">
        <v>334</v>
      </c>
      <c r="B9" s="13">
        <v>6</v>
      </c>
      <c r="C9" s="33">
        <v>40</v>
      </c>
      <c r="D9" s="33">
        <v>43</v>
      </c>
      <c r="E9" s="155" t="str">
        <f t="shared" si="0"/>
        <v>★</v>
      </c>
    </row>
    <row r="11" spans="1:11">
      <c r="A11" s="7" t="s">
        <v>335</v>
      </c>
      <c r="B11" s="8" t="s">
        <v>336</v>
      </c>
      <c r="F11" s="7" t="s">
        <v>337</v>
      </c>
      <c r="G11" s="8" t="s">
        <v>338</v>
      </c>
    </row>
    <row r="12" spans="1:11">
      <c r="A12" s="155" t="s">
        <v>339</v>
      </c>
      <c r="B12" s="155" t="s">
        <v>340</v>
      </c>
      <c r="C12" s="155" t="s">
        <v>63</v>
      </c>
      <c r="D12" s="160" t="s">
        <v>62</v>
      </c>
      <c r="F12" s="155" t="s">
        <v>341</v>
      </c>
      <c r="G12" s="155" t="s">
        <v>342</v>
      </c>
      <c r="H12" s="155" t="s">
        <v>343</v>
      </c>
      <c r="I12" s="155" t="s">
        <v>77</v>
      </c>
      <c r="J12" s="160" t="s">
        <v>78</v>
      </c>
    </row>
    <row r="13" spans="1:11">
      <c r="A13" s="155" t="s">
        <v>344</v>
      </c>
      <c r="B13" s="90">
        <v>45864</v>
      </c>
      <c r="C13" s="155">
        <v>5</v>
      </c>
      <c r="D13" s="90">
        <f t="shared" ref="D13:D21" si="1">WORKDAY(B13,C13)</f>
        <v>45870</v>
      </c>
      <c r="F13" s="155">
        <v>1</v>
      </c>
      <c r="G13" s="155" t="s">
        <v>345</v>
      </c>
      <c r="H13" s="155" t="s">
        <v>797</v>
      </c>
      <c r="I13" s="90">
        <v>38781</v>
      </c>
      <c r="J13" s="155" t="str">
        <f t="shared" ref="J13:J20" si="2">F13 &amp; PROPER(LEFT(H13,2)) &amp; YEAR(I13)</f>
        <v>1Se2006</v>
      </c>
    </row>
    <row r="14" spans="1:11">
      <c r="A14" s="155" t="s">
        <v>346</v>
      </c>
      <c r="B14" s="90">
        <v>45871</v>
      </c>
      <c r="C14" s="155">
        <v>7</v>
      </c>
      <c r="D14" s="90">
        <f t="shared" si="1"/>
        <v>45881</v>
      </c>
      <c r="F14" s="155">
        <v>2</v>
      </c>
      <c r="G14" s="155" t="s">
        <v>347</v>
      </c>
      <c r="H14" s="155" t="s">
        <v>798</v>
      </c>
      <c r="I14" s="90">
        <v>39178</v>
      </c>
      <c r="J14" s="155" t="str">
        <f t="shared" si="2"/>
        <v>2Bu2007</v>
      </c>
    </row>
    <row r="15" spans="1:11">
      <c r="A15" s="155" t="s">
        <v>348</v>
      </c>
      <c r="B15" s="90">
        <v>45885</v>
      </c>
      <c r="C15" s="155">
        <v>4</v>
      </c>
      <c r="D15" s="90">
        <f t="shared" si="1"/>
        <v>45890</v>
      </c>
      <c r="F15" s="155">
        <v>3</v>
      </c>
      <c r="G15" s="155" t="s">
        <v>349</v>
      </c>
      <c r="H15" s="155" t="s">
        <v>799</v>
      </c>
      <c r="I15" s="90">
        <v>38638</v>
      </c>
      <c r="J15" s="155" t="str">
        <f t="shared" si="2"/>
        <v>3Ul2005</v>
      </c>
    </row>
    <row r="16" spans="1:11">
      <c r="A16" s="155" t="s">
        <v>350</v>
      </c>
      <c r="B16" s="90">
        <v>45871</v>
      </c>
      <c r="C16" s="155">
        <v>5</v>
      </c>
      <c r="D16" s="90">
        <f t="shared" si="1"/>
        <v>45877</v>
      </c>
      <c r="F16" s="155">
        <v>4</v>
      </c>
      <c r="G16" s="155" t="s">
        <v>351</v>
      </c>
      <c r="H16" s="155" t="s">
        <v>800</v>
      </c>
      <c r="I16" s="90">
        <v>40638</v>
      </c>
      <c r="J16" s="155" t="str">
        <f t="shared" si="2"/>
        <v>4In2011</v>
      </c>
    </row>
    <row r="17" spans="1:10">
      <c r="A17" s="155" t="s">
        <v>352</v>
      </c>
      <c r="B17" s="90">
        <v>45864</v>
      </c>
      <c r="C17" s="155">
        <v>7</v>
      </c>
      <c r="D17" s="90">
        <f t="shared" si="1"/>
        <v>45874</v>
      </c>
      <c r="F17" s="155">
        <v>5</v>
      </c>
      <c r="G17" s="155" t="s">
        <v>353</v>
      </c>
      <c r="H17" s="155" t="s">
        <v>801</v>
      </c>
      <c r="I17" s="90">
        <v>40392</v>
      </c>
      <c r="J17" s="155" t="str">
        <f t="shared" si="2"/>
        <v>5Da2010</v>
      </c>
    </row>
    <row r="18" spans="1:10">
      <c r="A18" s="155" t="s">
        <v>354</v>
      </c>
      <c r="B18" s="90">
        <v>45871</v>
      </c>
      <c r="C18" s="155">
        <v>4</v>
      </c>
      <c r="D18" s="90">
        <f t="shared" si="1"/>
        <v>45876</v>
      </c>
      <c r="F18" s="155">
        <v>6</v>
      </c>
      <c r="G18" s="155" t="s">
        <v>355</v>
      </c>
      <c r="H18" s="155" t="s">
        <v>802</v>
      </c>
      <c r="I18" s="90">
        <v>40638</v>
      </c>
      <c r="J18" s="155" t="str">
        <f t="shared" si="2"/>
        <v>6Se2011</v>
      </c>
    </row>
    <row r="19" spans="1:10">
      <c r="A19" s="155" t="s">
        <v>356</v>
      </c>
      <c r="B19" s="90">
        <v>45871</v>
      </c>
      <c r="C19" s="155">
        <v>5</v>
      </c>
      <c r="D19" s="90">
        <f t="shared" si="1"/>
        <v>45877</v>
      </c>
      <c r="F19" s="155">
        <v>7</v>
      </c>
      <c r="G19" s="155" t="s">
        <v>357</v>
      </c>
      <c r="H19" s="155" t="s">
        <v>803</v>
      </c>
      <c r="I19" s="90">
        <v>40090</v>
      </c>
      <c r="J19" s="155" t="str">
        <f t="shared" si="2"/>
        <v>7In2009</v>
      </c>
    </row>
    <row r="20" spans="1:10">
      <c r="A20" s="155" t="s">
        <v>358</v>
      </c>
      <c r="B20" s="90">
        <v>45864</v>
      </c>
      <c r="C20" s="155">
        <v>4</v>
      </c>
      <c r="D20" s="90">
        <f t="shared" si="1"/>
        <v>45869</v>
      </c>
      <c r="F20" s="155">
        <v>8</v>
      </c>
      <c r="G20" s="155" t="s">
        <v>359</v>
      </c>
      <c r="H20" s="155" t="s">
        <v>804</v>
      </c>
      <c r="I20" s="90">
        <v>39123</v>
      </c>
      <c r="J20" s="155" t="str">
        <f t="shared" si="2"/>
        <v>8Bu2007</v>
      </c>
    </row>
    <row r="21" spans="1:10">
      <c r="A21" s="155" t="s">
        <v>360</v>
      </c>
      <c r="B21" s="90">
        <v>45878</v>
      </c>
      <c r="C21" s="155">
        <v>5</v>
      </c>
      <c r="D21" s="90">
        <f t="shared" si="1"/>
        <v>45884</v>
      </c>
    </row>
    <row r="23" spans="1:10">
      <c r="A23" s="7" t="s">
        <v>361</v>
      </c>
      <c r="B23" s="8" t="s">
        <v>362</v>
      </c>
      <c r="C23" s="123"/>
      <c r="D23" s="123"/>
      <c r="E23" s="123"/>
      <c r="F23" s="123"/>
    </row>
    <row r="24" spans="1:10">
      <c r="A24" s="124" t="s">
        <v>102</v>
      </c>
      <c r="B24" s="124" t="s">
        <v>363</v>
      </c>
      <c r="C24" s="124" t="s">
        <v>364</v>
      </c>
      <c r="D24" s="124" t="s">
        <v>365</v>
      </c>
      <c r="E24" s="123"/>
      <c r="F24" s="123"/>
    </row>
    <row r="25" spans="1:10" ht="17.100000000000001" customHeight="1">
      <c r="A25" s="48">
        <v>2</v>
      </c>
      <c r="B25" s="155" t="s">
        <v>366</v>
      </c>
      <c r="C25" s="155" t="s">
        <v>367</v>
      </c>
      <c r="D25" s="161">
        <v>90.51</v>
      </c>
      <c r="E25" s="204" t="s">
        <v>368</v>
      </c>
      <c r="F25" s="204"/>
    </row>
    <row r="26" spans="1:10">
      <c r="A26" s="48">
        <v>3</v>
      </c>
      <c r="B26" s="155" t="s">
        <v>370</v>
      </c>
      <c r="C26" s="155" t="s">
        <v>371</v>
      </c>
      <c r="D26" s="161">
        <v>78.16</v>
      </c>
      <c r="E26" s="205" t="str">
        <f>DMAX(A24:D39,D24,A24:B25)&amp;"(최저"&amp;DMIN(A24:D39,D24,A24:B25)&amp;")"</f>
        <v>90.51(최저75.24)</v>
      </c>
      <c r="F26" s="205"/>
    </row>
    <row r="27" spans="1:10">
      <c r="A27" s="48">
        <v>2</v>
      </c>
      <c r="B27" s="155" t="s">
        <v>372</v>
      </c>
      <c r="C27" s="155" t="s">
        <v>373</v>
      </c>
      <c r="D27" s="161">
        <v>75.239999999999995</v>
      </c>
      <c r="E27" s="123"/>
      <c r="F27" s="123"/>
    </row>
    <row r="28" spans="1:10">
      <c r="A28" s="48">
        <v>2</v>
      </c>
      <c r="B28" s="155" t="s">
        <v>374</v>
      </c>
      <c r="C28" s="155" t="s">
        <v>375</v>
      </c>
      <c r="D28" s="161">
        <v>86.45</v>
      </c>
      <c r="E28" s="123"/>
      <c r="F28" s="123"/>
    </row>
    <row r="29" spans="1:10">
      <c r="A29" s="48">
        <v>3</v>
      </c>
      <c r="B29" s="155" t="s">
        <v>374</v>
      </c>
      <c r="C29" s="155" t="s">
        <v>377</v>
      </c>
      <c r="D29" s="161">
        <v>65.89</v>
      </c>
      <c r="E29" s="123"/>
      <c r="F29" s="123"/>
    </row>
    <row r="30" spans="1:10">
      <c r="A30" s="48">
        <v>2</v>
      </c>
      <c r="B30" s="155" t="s">
        <v>366</v>
      </c>
      <c r="C30" s="155" t="s">
        <v>378</v>
      </c>
      <c r="D30" s="161">
        <v>84.32</v>
      </c>
      <c r="E30" s="123"/>
      <c r="F30" s="123"/>
    </row>
    <row r="31" spans="1:10">
      <c r="A31" s="48">
        <v>3</v>
      </c>
      <c r="B31" s="155" t="s">
        <v>372</v>
      </c>
      <c r="C31" s="155" t="s">
        <v>379</v>
      </c>
      <c r="D31" s="161">
        <v>90.12</v>
      </c>
      <c r="E31" s="123"/>
      <c r="F31" s="123"/>
    </row>
    <row r="32" spans="1:10">
      <c r="A32" s="48">
        <v>2</v>
      </c>
      <c r="B32" s="155" t="s">
        <v>369</v>
      </c>
      <c r="C32" s="155" t="s">
        <v>380</v>
      </c>
      <c r="D32" s="161">
        <v>78.56</v>
      </c>
      <c r="E32" s="123"/>
      <c r="F32" s="123"/>
    </row>
    <row r="33" spans="1:6">
      <c r="A33" s="48">
        <v>2</v>
      </c>
      <c r="B33" s="155" t="s">
        <v>366</v>
      </c>
      <c r="C33" s="155" t="s">
        <v>381</v>
      </c>
      <c r="D33" s="161">
        <v>79.58</v>
      </c>
      <c r="E33" s="123"/>
      <c r="F33" s="123"/>
    </row>
    <row r="34" spans="1:6">
      <c r="A34" s="48">
        <v>3</v>
      </c>
      <c r="B34" s="155" t="s">
        <v>366</v>
      </c>
      <c r="C34" s="155" t="s">
        <v>382</v>
      </c>
      <c r="D34" s="161">
        <v>91.54</v>
      </c>
      <c r="E34" s="123"/>
      <c r="F34" s="123"/>
    </row>
    <row r="35" spans="1:6">
      <c r="A35" s="48">
        <v>3</v>
      </c>
      <c r="B35" s="155" t="s">
        <v>374</v>
      </c>
      <c r="C35" s="155" t="s">
        <v>383</v>
      </c>
      <c r="D35" s="161">
        <v>89.41</v>
      </c>
      <c r="E35" s="123"/>
      <c r="F35" s="123"/>
    </row>
    <row r="36" spans="1:6">
      <c r="A36" s="48">
        <v>3</v>
      </c>
      <c r="B36" s="155" t="s">
        <v>372</v>
      </c>
      <c r="C36" s="155" t="s">
        <v>384</v>
      </c>
      <c r="D36" s="161">
        <v>85.32</v>
      </c>
      <c r="E36" s="123"/>
      <c r="F36" s="123"/>
    </row>
    <row r="37" spans="1:6">
      <c r="A37" s="48">
        <v>2</v>
      </c>
      <c r="B37" s="155" t="s">
        <v>385</v>
      </c>
      <c r="C37" s="155" t="s">
        <v>376</v>
      </c>
      <c r="D37" s="161">
        <v>89.54</v>
      </c>
      <c r="E37" s="123"/>
      <c r="F37" s="123"/>
    </row>
    <row r="38" spans="1:6">
      <c r="A38" s="48">
        <v>3</v>
      </c>
      <c r="B38" s="155" t="s">
        <v>366</v>
      </c>
      <c r="C38" s="155" t="s">
        <v>382</v>
      </c>
      <c r="D38" s="161">
        <v>75.95</v>
      </c>
      <c r="E38" s="123"/>
      <c r="F38" s="123"/>
    </row>
    <row r="39" spans="1:6">
      <c r="A39" s="48">
        <v>2</v>
      </c>
      <c r="B39" s="155" t="s">
        <v>369</v>
      </c>
      <c r="C39" s="155" t="s">
        <v>386</v>
      </c>
      <c r="D39" s="161">
        <v>78.540000000000006</v>
      </c>
      <c r="E39" s="123"/>
      <c r="F39" s="123"/>
    </row>
  </sheetData>
  <mergeCells count="3">
    <mergeCell ref="J1:K1"/>
    <mergeCell ref="E25:F25"/>
    <mergeCell ref="E26:F26"/>
  </mergeCells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37"/>
  <sheetViews>
    <sheetView topLeftCell="A10" workbookViewId="0">
      <selection activeCell="F31" sqref="F31"/>
    </sheetView>
  </sheetViews>
  <sheetFormatPr defaultRowHeight="16.5"/>
  <cols>
    <col min="3" max="3" width="13.125" bestFit="1" customWidth="1"/>
    <col min="8" max="8" width="15.375" customWidth="1"/>
    <col min="9" max="9" width="11.625" bestFit="1" customWidth="1"/>
    <col min="10" max="10" width="10.375" bestFit="1" customWidth="1"/>
  </cols>
  <sheetData>
    <row r="1" spans="1:10">
      <c r="A1" s="162" t="s">
        <v>462</v>
      </c>
      <c r="B1" s="49" t="s">
        <v>482</v>
      </c>
      <c r="C1" s="36"/>
      <c r="D1" s="36"/>
      <c r="F1" s="162" t="s">
        <v>528</v>
      </c>
      <c r="G1" s="49" t="s">
        <v>483</v>
      </c>
      <c r="H1" s="65"/>
      <c r="I1" s="65"/>
    </row>
    <row r="2" spans="1:10">
      <c r="A2" s="37" t="s">
        <v>484</v>
      </c>
      <c r="B2" s="37" t="s">
        <v>485</v>
      </c>
      <c r="C2" s="37" t="s">
        <v>486</v>
      </c>
      <c r="D2" s="38" t="s">
        <v>487</v>
      </c>
      <c r="F2" s="66" t="s">
        <v>1</v>
      </c>
      <c r="G2" s="78" t="s">
        <v>488</v>
      </c>
      <c r="H2" s="66" t="s">
        <v>489</v>
      </c>
      <c r="I2" s="73" t="s">
        <v>490</v>
      </c>
    </row>
    <row r="3" spans="1:10">
      <c r="A3" s="156" t="s">
        <v>491</v>
      </c>
      <c r="B3" s="156" t="s">
        <v>463</v>
      </c>
      <c r="C3" s="39">
        <v>23545850</v>
      </c>
      <c r="D3" s="40"/>
      <c r="F3" s="66" t="s">
        <v>492</v>
      </c>
      <c r="G3" s="66" t="s">
        <v>493</v>
      </c>
      <c r="H3" s="78">
        <v>43164</v>
      </c>
      <c r="I3" s="62">
        <f ca="1">_xlfn.DAYS(TODAY(),H3)</f>
        <v>2332</v>
      </c>
    </row>
    <row r="4" spans="1:10">
      <c r="A4" s="156" t="s">
        <v>494</v>
      </c>
      <c r="B4" s="156" t="s">
        <v>347</v>
      </c>
      <c r="C4" s="39">
        <v>34545721</v>
      </c>
      <c r="D4" s="41" t="s">
        <v>495</v>
      </c>
      <c r="F4" s="66" t="s">
        <v>496</v>
      </c>
      <c r="G4" s="66" t="s">
        <v>497</v>
      </c>
      <c r="H4" s="78">
        <v>43570</v>
      </c>
      <c r="I4" s="62">
        <f ca="1">_xlfn.DAYS(TODAY(),H4)</f>
        <v>1926</v>
      </c>
    </row>
    <row r="5" spans="1:10">
      <c r="A5" s="156" t="s">
        <v>34</v>
      </c>
      <c r="B5" s="156" t="s">
        <v>464</v>
      </c>
      <c r="C5" s="39">
        <v>45689420</v>
      </c>
      <c r="D5" s="40" t="s">
        <v>498</v>
      </c>
      <c r="F5" s="66" t="s">
        <v>499</v>
      </c>
      <c r="G5" s="66" t="s">
        <v>500</v>
      </c>
      <c r="H5" s="78">
        <v>43975</v>
      </c>
      <c r="I5" s="62">
        <f ca="1">_xlfn.DAYS(TODAY(),H5)</f>
        <v>1521</v>
      </c>
    </row>
    <row r="6" spans="1:10">
      <c r="A6" s="156" t="s">
        <v>494</v>
      </c>
      <c r="B6" s="156" t="s">
        <v>465</v>
      </c>
      <c r="C6" s="39">
        <v>12587120</v>
      </c>
      <c r="D6" s="40"/>
      <c r="F6" s="66" t="s">
        <v>501</v>
      </c>
      <c r="G6" s="66" t="s">
        <v>493</v>
      </c>
      <c r="H6" s="78">
        <v>43153</v>
      </c>
      <c r="I6" s="62">
        <f ca="1">_xlfn.DAYS(TODAY(),H6)</f>
        <v>2343</v>
      </c>
    </row>
    <row r="7" spans="1:10">
      <c r="A7" s="156" t="s">
        <v>491</v>
      </c>
      <c r="B7" s="156" t="s">
        <v>466</v>
      </c>
      <c r="C7" s="39">
        <v>32123480</v>
      </c>
      <c r="D7" s="40"/>
      <c r="F7" s="66" t="s">
        <v>502</v>
      </c>
      <c r="G7" s="66" t="s">
        <v>500</v>
      </c>
      <c r="H7" s="78">
        <v>43658</v>
      </c>
      <c r="I7" s="62">
        <f ca="1">_xlfn.DAYS(TODAY(),H7)</f>
        <v>1838</v>
      </c>
    </row>
    <row r="8" spans="1:10">
      <c r="A8" s="156" t="s">
        <v>503</v>
      </c>
      <c r="B8" s="156" t="s">
        <v>467</v>
      </c>
      <c r="C8" s="39">
        <v>42189420</v>
      </c>
      <c r="D8" s="41" t="s">
        <v>504</v>
      </c>
      <c r="F8" s="66" t="s">
        <v>806</v>
      </c>
      <c r="G8" s="66" t="s">
        <v>805</v>
      </c>
      <c r="H8" s="78">
        <v>44197</v>
      </c>
      <c r="I8" s="62">
        <f t="shared" ref="I8:I10" ca="1" si="0">_xlfn.DAYS(TODAY(),H8)</f>
        <v>1299</v>
      </c>
    </row>
    <row r="9" spans="1:10">
      <c r="A9" s="156" t="s">
        <v>494</v>
      </c>
      <c r="B9" s="156" t="s">
        <v>468</v>
      </c>
      <c r="C9" s="39">
        <v>32978140</v>
      </c>
      <c r="D9" s="41"/>
      <c r="F9" s="66" t="s">
        <v>807</v>
      </c>
      <c r="G9" s="66" t="s">
        <v>809</v>
      </c>
      <c r="H9" s="78">
        <v>44185</v>
      </c>
      <c r="I9" s="62">
        <f t="shared" ca="1" si="0"/>
        <v>1311</v>
      </c>
    </row>
    <row r="10" spans="1:10">
      <c r="A10" s="156" t="s">
        <v>491</v>
      </c>
      <c r="B10" s="156" t="s">
        <v>505</v>
      </c>
      <c r="C10" s="39">
        <v>21487450</v>
      </c>
      <c r="D10" s="41"/>
      <c r="F10" s="66" t="s">
        <v>808</v>
      </c>
      <c r="G10" s="66" t="s">
        <v>810</v>
      </c>
      <c r="H10" s="78">
        <v>43955</v>
      </c>
      <c r="I10" s="62">
        <f t="shared" ca="1" si="0"/>
        <v>1541</v>
      </c>
    </row>
    <row r="11" spans="1:10">
      <c r="A11" s="36"/>
      <c r="B11" s="36"/>
      <c r="C11" s="36"/>
      <c r="D11" s="36"/>
    </row>
    <row r="12" spans="1:10">
      <c r="A12" s="156" t="s">
        <v>484</v>
      </c>
      <c r="B12" s="36"/>
      <c r="C12" s="42" t="s">
        <v>506</v>
      </c>
      <c r="D12" s="36"/>
    </row>
    <row r="13" spans="1:10">
      <c r="A13" s="156" t="s">
        <v>494</v>
      </c>
      <c r="B13" s="36"/>
      <c r="C13" s="39">
        <f>ROUNDUP(DSUM(A2:D10,C2,A12:A13),-3)</f>
        <v>80111000</v>
      </c>
      <c r="D13" s="36"/>
    </row>
    <row r="15" spans="1:10">
      <c r="A15" s="162" t="s">
        <v>507</v>
      </c>
      <c r="B15" s="49" t="s">
        <v>508</v>
      </c>
      <c r="G15" s="162" t="s">
        <v>509</v>
      </c>
      <c r="H15" s="49" t="s">
        <v>510</v>
      </c>
    </row>
    <row r="16" spans="1:10">
      <c r="A16" s="155" t="s">
        <v>57</v>
      </c>
      <c r="B16" s="155" t="s">
        <v>67</v>
      </c>
      <c r="C16" s="155" t="s">
        <v>66</v>
      </c>
      <c r="D16" s="155" t="s">
        <v>65</v>
      </c>
      <c r="E16" s="160" t="s">
        <v>64</v>
      </c>
      <c r="G16" s="158" t="s">
        <v>511</v>
      </c>
      <c r="H16" s="108" t="s">
        <v>512</v>
      </c>
      <c r="I16" s="155" t="s">
        <v>513</v>
      </c>
      <c r="J16" s="160" t="s">
        <v>514</v>
      </c>
    </row>
    <row r="17" spans="1:10">
      <c r="A17" s="155" t="s">
        <v>469</v>
      </c>
      <c r="B17" s="155">
        <v>78</v>
      </c>
      <c r="C17" s="155">
        <v>95</v>
      </c>
      <c r="D17" s="155">
        <f t="shared" ref="D17:D27" si="1">AVERAGE(B17:C17)</f>
        <v>86.5</v>
      </c>
      <c r="E17" s="155" t="str">
        <f>IF(D17&lt;=MEDIAN($D$17:$D$27),"면담","")</f>
        <v>면담</v>
      </c>
      <c r="G17" s="109" t="s">
        <v>345</v>
      </c>
      <c r="H17" s="109">
        <v>12</v>
      </c>
      <c r="I17" s="33">
        <v>9000000</v>
      </c>
      <c r="J17" s="155" t="str">
        <f t="shared" ref="J17:J24" si="2">IF(AND(H17&gt;AVERAGE($H$17:$H$24),I17&gt;AVERAGE($I$17:$I$24)),"평균보다큼","")</f>
        <v/>
      </c>
    </row>
    <row r="18" spans="1:10">
      <c r="A18" s="155" t="s">
        <v>353</v>
      </c>
      <c r="B18" s="155">
        <v>89</v>
      </c>
      <c r="C18" s="155">
        <v>79</v>
      </c>
      <c r="D18" s="155">
        <f t="shared" si="1"/>
        <v>84</v>
      </c>
      <c r="E18" s="155" t="str">
        <f t="shared" ref="E18:E27" si="3">IF(D18&lt;=MEDIAN($D$17:$D$27),"면담","")</f>
        <v>면담</v>
      </c>
      <c r="G18" s="109" t="s">
        <v>347</v>
      </c>
      <c r="H18" s="109">
        <v>8</v>
      </c>
      <c r="I18" s="33">
        <v>10000000</v>
      </c>
      <c r="J18" s="155" t="str">
        <f t="shared" si="2"/>
        <v/>
      </c>
    </row>
    <row r="19" spans="1:10">
      <c r="A19" s="155" t="s">
        <v>470</v>
      </c>
      <c r="B19" s="155">
        <v>92</v>
      </c>
      <c r="C19" s="155">
        <v>94</v>
      </c>
      <c r="D19" s="155">
        <f t="shared" si="1"/>
        <v>93</v>
      </c>
      <c r="E19" s="155" t="str">
        <f t="shared" si="3"/>
        <v/>
      </c>
      <c r="G19" s="109" t="s">
        <v>349</v>
      </c>
      <c r="H19" s="109">
        <v>10</v>
      </c>
      <c r="I19" s="33">
        <v>12000000</v>
      </c>
      <c r="J19" s="155" t="str">
        <f t="shared" si="2"/>
        <v>평균보다큼</v>
      </c>
    </row>
    <row r="20" spans="1:10">
      <c r="A20" s="155" t="s">
        <v>471</v>
      </c>
      <c r="B20" s="155">
        <v>88</v>
      </c>
      <c r="C20" s="155">
        <v>91</v>
      </c>
      <c r="D20" s="155">
        <f t="shared" si="1"/>
        <v>89.5</v>
      </c>
      <c r="E20" s="155" t="str">
        <f t="shared" si="3"/>
        <v/>
      </c>
      <c r="G20" s="109" t="s">
        <v>351</v>
      </c>
      <c r="H20" s="109">
        <v>9</v>
      </c>
      <c r="I20" s="33">
        <v>7000000</v>
      </c>
      <c r="J20" s="155" t="str">
        <f t="shared" si="2"/>
        <v/>
      </c>
    </row>
    <row r="21" spans="1:10">
      <c r="A21" s="155" t="s">
        <v>472</v>
      </c>
      <c r="B21" s="155">
        <v>65</v>
      </c>
      <c r="C21" s="155">
        <v>78</v>
      </c>
      <c r="D21" s="155">
        <f t="shared" si="1"/>
        <v>71.5</v>
      </c>
      <c r="E21" s="155" t="str">
        <f t="shared" si="3"/>
        <v>면담</v>
      </c>
      <c r="G21" s="109" t="s">
        <v>353</v>
      </c>
      <c r="H21" s="109">
        <v>11</v>
      </c>
      <c r="I21" s="33">
        <v>11000000</v>
      </c>
      <c r="J21" s="155" t="str">
        <f t="shared" si="2"/>
        <v>평균보다큼</v>
      </c>
    </row>
    <row r="22" spans="1:10">
      <c r="A22" s="155" t="s">
        <v>473</v>
      </c>
      <c r="B22" s="155">
        <v>95</v>
      </c>
      <c r="C22" s="155">
        <v>82</v>
      </c>
      <c r="D22" s="155">
        <f t="shared" si="1"/>
        <v>88.5</v>
      </c>
      <c r="E22" s="155" t="str">
        <f t="shared" si="3"/>
        <v/>
      </c>
      <c r="G22" s="109" t="s">
        <v>355</v>
      </c>
      <c r="H22" s="109">
        <v>13</v>
      </c>
      <c r="I22" s="33">
        <v>10000000</v>
      </c>
      <c r="J22" s="155" t="str">
        <f t="shared" si="2"/>
        <v>평균보다큼</v>
      </c>
    </row>
    <row r="23" spans="1:10">
      <c r="A23" s="155" t="s">
        <v>474</v>
      </c>
      <c r="B23" s="155">
        <v>96</v>
      </c>
      <c r="C23" s="155">
        <v>89</v>
      </c>
      <c r="D23" s="155">
        <f t="shared" si="1"/>
        <v>92.5</v>
      </c>
      <c r="E23" s="155" t="str">
        <f t="shared" si="3"/>
        <v/>
      </c>
      <c r="G23" s="109" t="s">
        <v>357</v>
      </c>
      <c r="H23" s="109">
        <v>7</v>
      </c>
      <c r="I23" s="33">
        <v>6000000</v>
      </c>
      <c r="J23" s="155" t="str">
        <f t="shared" si="2"/>
        <v/>
      </c>
    </row>
    <row r="24" spans="1:10">
      <c r="A24" s="155" t="s">
        <v>475</v>
      </c>
      <c r="B24" s="155">
        <v>82</v>
      </c>
      <c r="C24" s="155">
        <v>75</v>
      </c>
      <c r="D24" s="155">
        <f t="shared" si="1"/>
        <v>78.5</v>
      </c>
      <c r="E24" s="155" t="str">
        <f t="shared" si="3"/>
        <v>면담</v>
      </c>
      <c r="G24" s="109" t="s">
        <v>359</v>
      </c>
      <c r="H24" s="109">
        <v>5</v>
      </c>
      <c r="I24" s="33">
        <v>7000000</v>
      </c>
      <c r="J24" s="155" t="str">
        <f t="shared" si="2"/>
        <v/>
      </c>
    </row>
    <row r="25" spans="1:10">
      <c r="A25" s="155" t="s">
        <v>476</v>
      </c>
      <c r="B25" s="155">
        <v>76</v>
      </c>
      <c r="C25" s="155">
        <v>65</v>
      </c>
      <c r="D25" s="155">
        <f t="shared" si="1"/>
        <v>70.5</v>
      </c>
      <c r="E25" s="155" t="str">
        <f t="shared" si="3"/>
        <v>면담</v>
      </c>
    </row>
    <row r="26" spans="1:10">
      <c r="A26" s="155" t="s">
        <v>477</v>
      </c>
      <c r="B26" s="155">
        <v>64</v>
      </c>
      <c r="C26" s="155">
        <v>75</v>
      </c>
      <c r="D26" s="155">
        <f t="shared" si="1"/>
        <v>69.5</v>
      </c>
      <c r="E26" s="155" t="str">
        <f t="shared" si="3"/>
        <v>면담</v>
      </c>
    </row>
    <row r="27" spans="1:10">
      <c r="A27" s="155" t="s">
        <v>515</v>
      </c>
      <c r="B27" s="155">
        <v>96</v>
      </c>
      <c r="C27" s="155">
        <v>90</v>
      </c>
      <c r="D27" s="155">
        <f t="shared" si="1"/>
        <v>93</v>
      </c>
      <c r="E27" s="155" t="str">
        <f t="shared" si="3"/>
        <v/>
      </c>
    </row>
    <row r="29" spans="1:10">
      <c r="A29" s="162" t="s">
        <v>209</v>
      </c>
      <c r="B29" s="49" t="s">
        <v>517</v>
      </c>
      <c r="C29" s="137"/>
      <c r="D29" s="137"/>
      <c r="E29" s="137"/>
      <c r="F29" s="138"/>
    </row>
    <row r="30" spans="1:10">
      <c r="A30" s="128" t="s">
        <v>518</v>
      </c>
      <c r="B30" s="128" t="s">
        <v>519</v>
      </c>
      <c r="C30" s="128" t="s">
        <v>520</v>
      </c>
      <c r="D30" s="128" t="s">
        <v>521</v>
      </c>
      <c r="E30" s="128" t="s">
        <v>522</v>
      </c>
      <c r="F30" s="42" t="s">
        <v>523</v>
      </c>
    </row>
    <row r="31" spans="1:10">
      <c r="A31" s="155" t="s">
        <v>524</v>
      </c>
      <c r="B31" s="128"/>
      <c r="C31" s="128" t="s">
        <v>525</v>
      </c>
      <c r="D31" s="128"/>
      <c r="E31" s="128" t="s">
        <v>525</v>
      </c>
      <c r="F31" s="157" t="str">
        <f>IF(COUNTBLANK(B31:E31)&lt;=1,"이수","")</f>
        <v/>
      </c>
    </row>
    <row r="32" spans="1:10">
      <c r="A32" s="155" t="s">
        <v>526</v>
      </c>
      <c r="B32" s="128" t="s">
        <v>525</v>
      </c>
      <c r="C32" s="128" t="s">
        <v>479</v>
      </c>
      <c r="D32" s="128" t="s">
        <v>525</v>
      </c>
      <c r="E32" s="128" t="s">
        <v>525</v>
      </c>
      <c r="F32" s="157" t="str">
        <f>IF(COUNTBLANK(B32:E32)&lt;=1,"이수","")</f>
        <v>이수</v>
      </c>
    </row>
    <row r="33" spans="1:6">
      <c r="A33" s="155" t="s">
        <v>527</v>
      </c>
      <c r="B33" s="128"/>
      <c r="C33" s="128" t="s">
        <v>525</v>
      </c>
      <c r="D33" s="128"/>
      <c r="E33" s="128" t="s">
        <v>479</v>
      </c>
      <c r="F33" s="157" t="str">
        <f>IF(COUNTBLANK(B33:E33)&lt;=1,"이수","")</f>
        <v/>
      </c>
    </row>
    <row r="34" spans="1:6">
      <c r="A34" s="155" t="s">
        <v>480</v>
      </c>
      <c r="B34" s="128" t="s">
        <v>479</v>
      </c>
      <c r="C34" s="128" t="s">
        <v>525</v>
      </c>
      <c r="D34" s="128" t="s">
        <v>479</v>
      </c>
      <c r="E34" s="128"/>
      <c r="F34" s="157" t="str">
        <f>IF(COUNTBLANK(B34:E34)&lt;=1,"이수","")</f>
        <v>이수</v>
      </c>
    </row>
    <row r="35" spans="1:6">
      <c r="A35" s="155" t="s">
        <v>481</v>
      </c>
      <c r="B35" s="128" t="s">
        <v>525</v>
      </c>
      <c r="C35" s="128" t="s">
        <v>525</v>
      </c>
      <c r="D35" s="128"/>
      <c r="E35" s="128" t="s">
        <v>479</v>
      </c>
      <c r="F35" s="157" t="str">
        <f>IF(COUNTBLANK(B35:E35)&lt;=1,"이수","")</f>
        <v>이수</v>
      </c>
    </row>
    <row r="36" spans="1:6">
      <c r="A36" s="168" t="s">
        <v>811</v>
      </c>
      <c r="B36" s="128" t="s">
        <v>525</v>
      </c>
      <c r="C36" s="128"/>
      <c r="D36" s="128"/>
      <c r="E36" s="128" t="s">
        <v>479</v>
      </c>
      <c r="F36" s="169" t="str">
        <f t="shared" ref="F36:F37" si="4">IF(COUNTBLANK(B36:E36)&lt;=1,"이수","")</f>
        <v/>
      </c>
    </row>
    <row r="37" spans="1:6">
      <c r="A37" s="168" t="s">
        <v>812</v>
      </c>
      <c r="B37" s="128" t="s">
        <v>525</v>
      </c>
      <c r="C37" s="128" t="s">
        <v>525</v>
      </c>
      <c r="D37" s="128"/>
      <c r="E37" s="128" t="s">
        <v>479</v>
      </c>
      <c r="F37" s="169" t="str">
        <f t="shared" si="4"/>
        <v>이수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6"/>
  <sheetViews>
    <sheetView topLeftCell="A10" workbookViewId="0">
      <selection activeCell="F33" sqref="F33"/>
    </sheetView>
  </sheetViews>
  <sheetFormatPr defaultRowHeight="16.5"/>
  <cols>
    <col min="4" max="5" width="10.625" bestFit="1" customWidth="1"/>
    <col min="7" max="7" width="10.625" bestFit="1" customWidth="1"/>
    <col min="8" max="8" width="11" bestFit="1" customWidth="1"/>
    <col min="9" max="9" width="10.625" bestFit="1" customWidth="1"/>
    <col min="10" max="10" width="12" bestFit="1" customWidth="1"/>
    <col min="11" max="11" width="11.875" customWidth="1"/>
    <col min="12" max="12" width="9" customWidth="1"/>
  </cols>
  <sheetData>
    <row r="1" spans="1:12">
      <c r="A1" s="162" t="s">
        <v>39</v>
      </c>
      <c r="B1" s="49" t="s">
        <v>529</v>
      </c>
      <c r="C1" s="36"/>
      <c r="D1" s="36"/>
      <c r="E1" s="36"/>
      <c r="H1" s="185" t="s">
        <v>29</v>
      </c>
      <c r="I1" s="85" t="s">
        <v>1049</v>
      </c>
    </row>
    <row r="2" spans="1:12">
      <c r="A2" s="37" t="s">
        <v>101</v>
      </c>
      <c r="B2" s="37" t="s">
        <v>158</v>
      </c>
      <c r="C2" s="37" t="s">
        <v>7</v>
      </c>
      <c r="D2" s="37" t="s">
        <v>530</v>
      </c>
      <c r="E2" s="43" t="s">
        <v>531</v>
      </c>
      <c r="H2" s="183" t="s">
        <v>1050</v>
      </c>
      <c r="I2" s="183" t="s">
        <v>43</v>
      </c>
      <c r="J2" s="183" t="s">
        <v>1051</v>
      </c>
      <c r="K2" s="183" t="s">
        <v>1052</v>
      </c>
      <c r="L2" s="184" t="s">
        <v>1053</v>
      </c>
    </row>
    <row r="3" spans="1:12">
      <c r="A3" s="156" t="s">
        <v>533</v>
      </c>
      <c r="B3" s="156" t="s">
        <v>535</v>
      </c>
      <c r="C3" s="156" t="s">
        <v>536</v>
      </c>
      <c r="D3" s="44">
        <v>3300000</v>
      </c>
      <c r="E3" s="44">
        <v>1155000</v>
      </c>
      <c r="F3" s="163"/>
      <c r="H3" s="183" t="s">
        <v>1059</v>
      </c>
      <c r="I3" s="70" t="s">
        <v>185</v>
      </c>
      <c r="J3" s="186">
        <v>0.64203703703703707</v>
      </c>
      <c r="K3" s="186">
        <v>0.67944444444444441</v>
      </c>
      <c r="L3" s="186">
        <f>IF(RIGHT(H3,3)="마스터",(K3-J3)+TIME(,2,),K3-J3)</f>
        <v>3.8796296296296225E-2</v>
      </c>
    </row>
    <row r="4" spans="1:12">
      <c r="A4" s="156" t="s">
        <v>537</v>
      </c>
      <c r="B4" s="156" t="s">
        <v>539</v>
      </c>
      <c r="C4" s="156" t="s">
        <v>540</v>
      </c>
      <c r="D4" s="44">
        <v>4500000</v>
      </c>
      <c r="E4" s="44">
        <v>1575000</v>
      </c>
      <c r="F4" s="163"/>
      <c r="H4" s="183" t="s">
        <v>1054</v>
      </c>
      <c r="I4" s="70" t="s">
        <v>544</v>
      </c>
      <c r="J4" s="186">
        <v>0.66347222222222224</v>
      </c>
      <c r="K4" s="186">
        <v>0.67494212962962974</v>
      </c>
      <c r="L4" s="186">
        <f t="shared" ref="L4:L9" si="0">IF(RIGHT(H4,3)="마스터",(K4-J4)+TIME(,2,),K4-J4)</f>
        <v>1.1469907407407498E-2</v>
      </c>
    </row>
    <row r="5" spans="1:12">
      <c r="A5" s="156" t="s">
        <v>542</v>
      </c>
      <c r="B5" s="156" t="s">
        <v>543</v>
      </c>
      <c r="C5" s="156" t="s">
        <v>8</v>
      </c>
      <c r="D5" s="44">
        <v>2800000</v>
      </c>
      <c r="E5" s="44">
        <v>979999.99999999988</v>
      </c>
      <c r="F5" s="163"/>
      <c r="H5" s="183" t="s">
        <v>1055</v>
      </c>
      <c r="I5" s="70" t="s">
        <v>547</v>
      </c>
      <c r="J5" s="186">
        <v>0.5663541666666666</v>
      </c>
      <c r="K5" s="186">
        <v>0.61362268518518526</v>
      </c>
      <c r="L5" s="186">
        <f t="shared" si="0"/>
        <v>4.8657407407407545E-2</v>
      </c>
    </row>
    <row r="6" spans="1:12">
      <c r="A6" s="156" t="s">
        <v>545</v>
      </c>
      <c r="B6" s="156" t="s">
        <v>538</v>
      </c>
      <c r="C6" s="156" t="s">
        <v>546</v>
      </c>
      <c r="D6" s="44">
        <v>3300000</v>
      </c>
      <c r="E6" s="44">
        <v>1155000</v>
      </c>
      <c r="F6" s="163"/>
      <c r="H6" s="183" t="s">
        <v>1056</v>
      </c>
      <c r="I6" s="70" t="s">
        <v>551</v>
      </c>
      <c r="J6" s="186">
        <v>0.5960185185185185</v>
      </c>
      <c r="K6" s="186">
        <v>0.74238425925925933</v>
      </c>
      <c r="L6" s="186">
        <f t="shared" si="0"/>
        <v>0.14636574074074082</v>
      </c>
    </row>
    <row r="7" spans="1:12">
      <c r="A7" s="156" t="s">
        <v>548</v>
      </c>
      <c r="B7" s="156" t="s">
        <v>549</v>
      </c>
      <c r="C7" s="156" t="s">
        <v>550</v>
      </c>
      <c r="D7" s="44">
        <v>3900000</v>
      </c>
      <c r="E7" s="44">
        <v>1365000</v>
      </c>
      <c r="F7" s="163"/>
      <c r="H7" s="183" t="s">
        <v>1057</v>
      </c>
      <c r="I7" s="70" t="s">
        <v>553</v>
      </c>
      <c r="J7" s="186">
        <v>0.60603009259259266</v>
      </c>
      <c r="K7" s="186">
        <v>0.62454861111111104</v>
      </c>
      <c r="L7" s="186">
        <f t="shared" si="0"/>
        <v>1.9907407407407266E-2</v>
      </c>
    </row>
    <row r="8" spans="1:12">
      <c r="A8" s="156" t="s">
        <v>552</v>
      </c>
      <c r="B8" s="156" t="s">
        <v>543</v>
      </c>
      <c r="C8" s="156" t="s">
        <v>546</v>
      </c>
      <c r="D8" s="44">
        <v>3400000</v>
      </c>
      <c r="E8" s="44">
        <v>1190000</v>
      </c>
      <c r="F8" s="163"/>
      <c r="H8" s="183" t="s">
        <v>1058</v>
      </c>
      <c r="I8" s="70" t="s">
        <v>557</v>
      </c>
      <c r="J8" s="186">
        <v>0.71700231481481491</v>
      </c>
      <c r="K8" s="186">
        <v>0.76968749999999997</v>
      </c>
      <c r="L8" s="186">
        <f t="shared" si="0"/>
        <v>5.2685185185185057E-2</v>
      </c>
    </row>
    <row r="9" spans="1:12">
      <c r="A9" s="156" t="s">
        <v>555</v>
      </c>
      <c r="B9" s="156" t="s">
        <v>556</v>
      </c>
      <c r="C9" s="156" t="s">
        <v>8</v>
      </c>
      <c r="D9" s="44">
        <v>2700000</v>
      </c>
      <c r="E9" s="44">
        <v>944999.99999999988</v>
      </c>
      <c r="F9" s="163"/>
      <c r="H9" s="183" t="s">
        <v>1060</v>
      </c>
      <c r="I9" s="70" t="s">
        <v>333</v>
      </c>
      <c r="J9" s="186">
        <v>0.6236342592592593</v>
      </c>
      <c r="K9" s="186">
        <v>0.63578703703703698</v>
      </c>
      <c r="L9" s="186">
        <f t="shared" si="0"/>
        <v>1.2152777777777679E-2</v>
      </c>
    </row>
    <row r="10" spans="1:12">
      <c r="A10" s="156" t="s">
        <v>558</v>
      </c>
      <c r="B10" s="156" t="s">
        <v>534</v>
      </c>
      <c r="C10" s="156" t="s">
        <v>550</v>
      </c>
      <c r="D10" s="44">
        <v>3800000</v>
      </c>
      <c r="E10" s="44">
        <v>1330000</v>
      </c>
      <c r="F10" s="163"/>
    </row>
    <row r="11" spans="1:12">
      <c r="A11" s="36"/>
      <c r="B11" s="36"/>
      <c r="C11" s="36"/>
      <c r="D11" s="36"/>
      <c r="E11" s="36"/>
    </row>
    <row r="12" spans="1:12" ht="17.100000000000001" customHeight="1">
      <c r="A12" s="206" t="s">
        <v>559</v>
      </c>
      <c r="B12" s="206"/>
      <c r="C12" s="206"/>
      <c r="D12" s="206"/>
      <c r="E12" s="207" t="str">
        <f>COUNTIFS(E3:E10,"&gt;1300000",D3:D10,"&gt;="&amp;AVERAGE(D3:D10))&amp;"명"</f>
        <v>3명</v>
      </c>
    </row>
    <row r="13" spans="1:12">
      <c r="A13" s="206"/>
      <c r="B13" s="206"/>
      <c r="C13" s="206"/>
      <c r="D13" s="206"/>
      <c r="E13" s="207"/>
      <c r="H13" s="162" t="s">
        <v>560</v>
      </c>
      <c r="I13" s="49" t="s">
        <v>561</v>
      </c>
      <c r="J13" s="49"/>
      <c r="K13" s="155" t="s">
        <v>562</v>
      </c>
      <c r="L13" s="93">
        <v>8000</v>
      </c>
    </row>
    <row r="14" spans="1:12">
      <c r="H14" s="155" t="s">
        <v>563</v>
      </c>
      <c r="I14" s="155" t="s">
        <v>564</v>
      </c>
      <c r="J14" s="155" t="s">
        <v>565</v>
      </c>
      <c r="K14" s="155" t="s">
        <v>566</v>
      </c>
      <c r="L14" s="160" t="s">
        <v>567</v>
      </c>
    </row>
    <row r="15" spans="1:12">
      <c r="A15" s="162" t="s">
        <v>568</v>
      </c>
      <c r="B15" s="49" t="s">
        <v>569</v>
      </c>
      <c r="H15" s="155" t="s">
        <v>570</v>
      </c>
      <c r="I15" s="90" t="s">
        <v>571</v>
      </c>
      <c r="J15" s="33">
        <v>154800</v>
      </c>
      <c r="K15" s="33">
        <v>98500</v>
      </c>
      <c r="L15" s="150" t="str" cm="1">
        <f t="array" ref="L15">_xlfn.IFS(K15-$L$13&gt;=100000,"진단서",K15-$L$13&gt;=1000,"영수증",TRUE,"")</f>
        <v>영수증</v>
      </c>
    </row>
    <row r="16" spans="1:12">
      <c r="A16" s="96"/>
      <c r="B16" s="155" t="s">
        <v>68</v>
      </c>
      <c r="C16" s="155" t="s">
        <v>572</v>
      </c>
      <c r="D16" s="155" t="s">
        <v>573</v>
      </c>
      <c r="E16" s="155" t="s">
        <v>574</v>
      </c>
      <c r="H16" s="155" t="s">
        <v>575</v>
      </c>
      <c r="I16" s="90" t="s">
        <v>576</v>
      </c>
      <c r="J16" s="33">
        <v>12540</v>
      </c>
      <c r="K16" s="33">
        <v>5600</v>
      </c>
      <c r="L16" s="150" t="str" cm="1">
        <f t="array" ref="L16">_xlfn.IFS(K16-$L$13&gt;=100000,"진단서",K16-$L$13&gt;=1000,"영수증",TRUE,"")</f>
        <v/>
      </c>
    </row>
    <row r="17" spans="1:12">
      <c r="A17" s="155" t="s">
        <v>68</v>
      </c>
      <c r="B17" s="150">
        <v>5000</v>
      </c>
      <c r="C17" s="150">
        <v>5000</v>
      </c>
      <c r="D17" s="150">
        <v>6000</v>
      </c>
      <c r="E17" s="150">
        <v>9000</v>
      </c>
      <c r="H17" s="155" t="s">
        <v>577</v>
      </c>
      <c r="I17" s="90" t="s">
        <v>578</v>
      </c>
      <c r="J17" s="33">
        <v>252400</v>
      </c>
      <c r="K17" s="33">
        <v>152400</v>
      </c>
      <c r="L17" s="150" t="str" cm="1">
        <f t="array" ref="L17">_xlfn.IFS(K17-$L$13&gt;=100000,"진단서",K17-$L$13&gt;=1000,"영수증",TRUE,"")</f>
        <v>진단서</v>
      </c>
    </row>
    <row r="18" spans="1:12">
      <c r="A18" s="155" t="s">
        <v>579</v>
      </c>
      <c r="B18" s="150">
        <v>5000</v>
      </c>
      <c r="C18" s="150">
        <v>5000</v>
      </c>
      <c r="D18" s="150">
        <v>6000</v>
      </c>
      <c r="E18" s="150">
        <v>9000</v>
      </c>
      <c r="H18" s="155" t="s">
        <v>580</v>
      </c>
      <c r="I18" s="90" t="s">
        <v>581</v>
      </c>
      <c r="J18" s="33">
        <v>85760</v>
      </c>
      <c r="K18" s="33">
        <v>35680</v>
      </c>
      <c r="L18" s="150" t="str" cm="1">
        <f t="array" ref="L18">_xlfn.IFS(K18-$L$13&gt;=100000,"진단서",K18-$L$13&gt;=1000,"영수증",TRUE,"")</f>
        <v>영수증</v>
      </c>
    </row>
    <row r="19" spans="1:12">
      <c r="A19" s="155" t="s">
        <v>582</v>
      </c>
      <c r="B19" s="150">
        <v>6000</v>
      </c>
      <c r="C19" s="150">
        <v>6000</v>
      </c>
      <c r="D19" s="150">
        <v>5000</v>
      </c>
      <c r="E19" s="150">
        <v>9000</v>
      </c>
      <c r="H19" s="155" t="s">
        <v>583</v>
      </c>
      <c r="I19" s="90" t="s">
        <v>584</v>
      </c>
      <c r="J19" s="33">
        <v>198500</v>
      </c>
      <c r="K19" s="33">
        <v>125000</v>
      </c>
      <c r="L19" s="150" t="str" cm="1">
        <f t="array" ref="L19">_xlfn.IFS(K19-$L$13&gt;=100000,"진단서",K19-$L$13&gt;=1000,"영수증",TRUE,"")</f>
        <v>진단서</v>
      </c>
    </row>
    <row r="20" spans="1:12">
      <c r="A20" s="155" t="s">
        <v>585</v>
      </c>
      <c r="B20" s="150">
        <v>9000</v>
      </c>
      <c r="C20" s="150">
        <v>9000</v>
      </c>
      <c r="D20" s="150">
        <v>9000</v>
      </c>
      <c r="E20" s="150">
        <v>5000</v>
      </c>
      <c r="H20" s="155" t="s">
        <v>586</v>
      </c>
      <c r="I20" s="90" t="s">
        <v>587</v>
      </c>
      <c r="J20" s="33">
        <v>8590</v>
      </c>
      <c r="K20" s="33">
        <v>3500</v>
      </c>
      <c r="L20" s="150" t="str" cm="1">
        <f t="array" ref="L20">_xlfn.IFS(K20-$L$13&gt;=100000,"진단서",K20-$L$13&gt;=1000,"영수증",TRUE,"")</f>
        <v/>
      </c>
    </row>
    <row r="21" spans="1:12">
      <c r="H21" s="155" t="s">
        <v>588</v>
      </c>
      <c r="I21" s="90" t="s">
        <v>589</v>
      </c>
      <c r="J21" s="33">
        <v>105700</v>
      </c>
      <c r="K21" s="33">
        <v>102000</v>
      </c>
      <c r="L21" s="150" t="str" cm="1">
        <f t="array" ref="L21">_xlfn.IFS(K21-$L$13&gt;=100000,"진단서",K21-$L$13&gt;=1000,"영수증",TRUE,"")</f>
        <v>영수증</v>
      </c>
    </row>
    <row r="22" spans="1:12">
      <c r="C22" s="155" t="s">
        <v>594</v>
      </c>
      <c r="D22" s="155" t="s">
        <v>595</v>
      </c>
      <c r="E22" s="160" t="s">
        <v>69</v>
      </c>
      <c r="H22" s="155" t="s">
        <v>590</v>
      </c>
      <c r="I22" s="90" t="s">
        <v>591</v>
      </c>
      <c r="J22" s="33">
        <v>198560</v>
      </c>
      <c r="K22" s="33">
        <v>124500</v>
      </c>
      <c r="L22" s="150" t="str" cm="1">
        <f t="array" ref="L22">_xlfn.IFS(K22-$L$13&gt;=100000,"진단서",K22-$L$13&gt;=1000,"영수증",TRUE,"")</f>
        <v>진단서</v>
      </c>
    </row>
    <row r="23" spans="1:12">
      <c r="C23" s="155" t="s">
        <v>596</v>
      </c>
      <c r="D23" s="155" t="s">
        <v>597</v>
      </c>
      <c r="E23" s="150">
        <f>INDEX(B17:E20,MATCH(C23,A17:A20,0),MATCH(D23,B16:E16,0))</f>
        <v>6000</v>
      </c>
      <c r="H23" s="155" t="s">
        <v>592</v>
      </c>
      <c r="I23" s="90" t="s">
        <v>593</v>
      </c>
      <c r="J23" s="33">
        <v>985600</v>
      </c>
      <c r="K23" s="33">
        <v>86420</v>
      </c>
      <c r="L23" s="150" t="str" cm="1">
        <f t="array" ref="L23">_xlfn.IFS(K23-$L$13&gt;=100000,"진단서",K23-$L$13&gt;=1000,"영수증",TRUE,"")</f>
        <v>영수증</v>
      </c>
    </row>
    <row r="25" spans="1:12">
      <c r="A25" s="162" t="s">
        <v>5</v>
      </c>
      <c r="B25" s="49" t="s">
        <v>598</v>
      </c>
    </row>
    <row r="26" spans="1:12">
      <c r="A26" s="158" t="s">
        <v>599</v>
      </c>
      <c r="B26" s="158" t="s">
        <v>532</v>
      </c>
      <c r="C26" s="158" t="s">
        <v>600</v>
      </c>
      <c r="D26" s="121"/>
    </row>
    <row r="27" spans="1:12">
      <c r="A27" s="155" t="s">
        <v>601</v>
      </c>
      <c r="B27" s="164" t="s">
        <v>35</v>
      </c>
      <c r="C27" s="155">
        <v>91.2</v>
      </c>
      <c r="D27" s="94"/>
    </row>
    <row r="28" spans="1:12">
      <c r="A28" s="155" t="s">
        <v>602</v>
      </c>
      <c r="B28" s="79" t="s">
        <v>603</v>
      </c>
      <c r="C28" s="155">
        <v>95.4</v>
      </c>
      <c r="D28" s="94"/>
    </row>
    <row r="29" spans="1:12">
      <c r="A29" s="155" t="s">
        <v>604</v>
      </c>
      <c r="B29" s="164" t="s">
        <v>33</v>
      </c>
      <c r="C29" s="155">
        <v>92.4</v>
      </c>
      <c r="D29" s="94"/>
    </row>
    <row r="30" spans="1:12">
      <c r="A30" s="155" t="s">
        <v>605</v>
      </c>
      <c r="B30" s="164" t="s">
        <v>35</v>
      </c>
      <c r="C30" s="155">
        <v>89.3</v>
      </c>
      <c r="D30" s="94"/>
    </row>
    <row r="31" spans="1:12">
      <c r="A31" s="155" t="s">
        <v>606</v>
      </c>
      <c r="B31" s="164" t="s">
        <v>541</v>
      </c>
      <c r="C31" s="155">
        <v>88.7</v>
      </c>
      <c r="D31" s="94"/>
    </row>
    <row r="32" spans="1:12">
      <c r="A32" s="155" t="s">
        <v>607</v>
      </c>
      <c r="B32" s="79" t="s">
        <v>554</v>
      </c>
      <c r="C32" s="155">
        <v>93.1</v>
      </c>
      <c r="D32" s="94"/>
      <c r="E32" s="155" t="s">
        <v>608</v>
      </c>
      <c r="F32" s="160" t="s">
        <v>609</v>
      </c>
    </row>
    <row r="33" spans="1:6">
      <c r="A33" s="155" t="s">
        <v>610</v>
      </c>
      <c r="B33" s="164" t="s">
        <v>603</v>
      </c>
      <c r="C33" s="155">
        <v>89.4</v>
      </c>
      <c r="D33" s="94"/>
      <c r="E33" s="155" t="s">
        <v>554</v>
      </c>
      <c r="F33" s="155">
        <f>ROUNDUP(AVERAGEIF($B$27:$B$36,E33,$C$27:$C$36),1)</f>
        <v>88.5</v>
      </c>
    </row>
    <row r="34" spans="1:6">
      <c r="A34" s="155" t="s">
        <v>611</v>
      </c>
      <c r="B34" s="79" t="s">
        <v>554</v>
      </c>
      <c r="C34" s="155">
        <v>88.7</v>
      </c>
      <c r="D34" s="94"/>
      <c r="E34" s="155" t="s">
        <v>603</v>
      </c>
      <c r="F34" s="155">
        <f>ROUNDUP(AVERAGEIF($B$27:$B$36,E34,$C$27:$C$36),1)</f>
        <v>91.399999999999991</v>
      </c>
    </row>
    <row r="35" spans="1:6">
      <c r="A35" s="155" t="s">
        <v>612</v>
      </c>
      <c r="B35" s="155" t="s">
        <v>35</v>
      </c>
      <c r="C35" s="155">
        <v>94.1</v>
      </c>
      <c r="D35" s="94"/>
    </row>
    <row r="36" spans="1:6">
      <c r="A36" s="155" t="s">
        <v>613</v>
      </c>
      <c r="B36" s="155" t="s">
        <v>33</v>
      </c>
      <c r="C36" s="155">
        <v>79.5</v>
      </c>
      <c r="D36" s="94"/>
    </row>
  </sheetData>
  <mergeCells count="2">
    <mergeCell ref="A12:D13"/>
    <mergeCell ref="E12:E13"/>
  </mergeCells>
  <phoneticPr fontId="4" type="noConversion"/>
  <dataValidations disablePrompts="1" count="2">
    <dataValidation type="list" allowBlank="1" showInputMessage="1" showErrorMessage="1" sqref="C23" xr:uid="{DADFF66F-B012-4CFF-AD6E-72B630DEC89D}">
      <formula1>$A$17:$A$20</formula1>
    </dataValidation>
    <dataValidation type="list" allowBlank="1" showInputMessage="1" showErrorMessage="1" sqref="D23" xr:uid="{F369DF6C-2FC1-4041-B7D4-7CD8007D673F}">
      <formula1>$B$16:$E$16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40"/>
  <sheetViews>
    <sheetView workbookViewId="0">
      <selection activeCell="G34" sqref="G34:G36"/>
    </sheetView>
  </sheetViews>
  <sheetFormatPr defaultRowHeight="16.5"/>
  <cols>
    <col min="1" max="1" width="9.875" bestFit="1" customWidth="1"/>
    <col min="3" max="3" width="15.375" bestFit="1" customWidth="1"/>
    <col min="6" max="6" width="13" customWidth="1"/>
    <col min="9" max="9" width="10.625" bestFit="1" customWidth="1"/>
  </cols>
  <sheetData>
    <row r="1" spans="1:13">
      <c r="A1" s="162" t="s">
        <v>462</v>
      </c>
      <c r="B1" s="49" t="s">
        <v>614</v>
      </c>
      <c r="C1" s="36"/>
      <c r="D1" s="36"/>
      <c r="F1" s="162" t="s">
        <v>516</v>
      </c>
      <c r="G1" s="49" t="s">
        <v>615</v>
      </c>
      <c r="H1" s="81"/>
      <c r="I1" s="81"/>
      <c r="J1" s="81"/>
      <c r="K1" s="81"/>
      <c r="L1" s="81"/>
      <c r="M1" s="81"/>
    </row>
    <row r="2" spans="1:13">
      <c r="A2" s="37" t="s">
        <v>616</v>
      </c>
      <c r="B2" s="37" t="s">
        <v>617</v>
      </c>
      <c r="C2" s="37" t="s">
        <v>618</v>
      </c>
      <c r="D2" s="45" t="s">
        <v>619</v>
      </c>
      <c r="F2" s="156" t="s">
        <v>620</v>
      </c>
      <c r="G2" s="156" t="s">
        <v>621</v>
      </c>
      <c r="H2" s="156" t="s">
        <v>622</v>
      </c>
      <c r="I2" s="156" t="s">
        <v>623</v>
      </c>
      <c r="J2" s="82" t="s">
        <v>624</v>
      </c>
      <c r="L2" s="81"/>
      <c r="M2" s="81"/>
    </row>
    <row r="3" spans="1:13">
      <c r="A3" s="46" t="s">
        <v>625</v>
      </c>
      <c r="B3" s="156" t="s">
        <v>626</v>
      </c>
      <c r="C3" s="47" t="s">
        <v>627</v>
      </c>
      <c r="D3" s="156" t="str">
        <f t="shared" ref="D3:D10" si="0">CHOOSE(MID(C3,8,1),"남","여","남","여")</f>
        <v>남</v>
      </c>
      <c r="F3" s="156" t="s">
        <v>628</v>
      </c>
      <c r="G3" s="83">
        <v>92</v>
      </c>
      <c r="H3" s="83">
        <v>89</v>
      </c>
      <c r="I3" s="83">
        <f t="shared" ref="I3:I11" si="1">SUM(G3:H3)</f>
        <v>181</v>
      </c>
      <c r="J3" s="156" t="str">
        <f t="shared" ref="J3:J11" si="2">VLOOKUP(_xlfn.RANK.EQ(I3,$I$3:$I$11),$L$6:$M$10,2,TRUE)</f>
        <v>장려상</v>
      </c>
      <c r="L3" s="81"/>
      <c r="M3" s="81"/>
    </row>
    <row r="4" spans="1:13">
      <c r="A4" s="46" t="s">
        <v>629</v>
      </c>
      <c r="B4" s="156" t="s">
        <v>630</v>
      </c>
      <c r="C4" s="47" t="s">
        <v>631</v>
      </c>
      <c r="D4" s="156" t="str">
        <f t="shared" si="0"/>
        <v>남</v>
      </c>
      <c r="F4" s="156" t="s">
        <v>632</v>
      </c>
      <c r="G4" s="83">
        <v>89</v>
      </c>
      <c r="H4" s="83">
        <v>96</v>
      </c>
      <c r="I4" s="83">
        <f t="shared" si="1"/>
        <v>185</v>
      </c>
      <c r="J4" s="156" t="str">
        <f t="shared" si="2"/>
        <v>동상</v>
      </c>
      <c r="L4" s="208" t="s">
        <v>813</v>
      </c>
      <c r="M4" s="208"/>
    </row>
    <row r="5" spans="1:13">
      <c r="A5" s="46" t="s">
        <v>633</v>
      </c>
      <c r="B5" s="156" t="s">
        <v>634</v>
      </c>
      <c r="C5" s="47" t="s">
        <v>635</v>
      </c>
      <c r="D5" s="156" t="str">
        <f t="shared" si="0"/>
        <v>여</v>
      </c>
      <c r="F5" s="156" t="s">
        <v>636</v>
      </c>
      <c r="G5" s="83">
        <v>92</v>
      </c>
      <c r="H5" s="83">
        <v>98</v>
      </c>
      <c r="I5" s="83">
        <f t="shared" si="1"/>
        <v>190</v>
      </c>
      <c r="J5" s="156" t="str">
        <f t="shared" si="2"/>
        <v>금상</v>
      </c>
      <c r="L5" s="156" t="s">
        <v>637</v>
      </c>
      <c r="M5" s="156" t="s">
        <v>46</v>
      </c>
    </row>
    <row r="6" spans="1:13">
      <c r="A6" s="46" t="s">
        <v>638</v>
      </c>
      <c r="B6" s="156" t="s">
        <v>639</v>
      </c>
      <c r="C6" s="47" t="s">
        <v>640</v>
      </c>
      <c r="D6" s="156" t="str">
        <f t="shared" si="0"/>
        <v>여</v>
      </c>
      <c r="F6" s="156" t="s">
        <v>641</v>
      </c>
      <c r="G6" s="83">
        <v>96</v>
      </c>
      <c r="H6" s="83">
        <v>93</v>
      </c>
      <c r="I6" s="83">
        <f t="shared" si="1"/>
        <v>189</v>
      </c>
      <c r="J6" s="156" t="str">
        <f t="shared" si="2"/>
        <v>은상</v>
      </c>
      <c r="L6" s="156">
        <v>1</v>
      </c>
      <c r="M6" s="156" t="s">
        <v>642</v>
      </c>
    </row>
    <row r="7" spans="1:13">
      <c r="A7" s="46" t="s">
        <v>643</v>
      </c>
      <c r="B7" s="156" t="s">
        <v>644</v>
      </c>
      <c r="C7" s="47" t="s">
        <v>645</v>
      </c>
      <c r="D7" s="156" t="str">
        <f t="shared" si="0"/>
        <v>남</v>
      </c>
      <c r="F7" s="156" t="s">
        <v>646</v>
      </c>
      <c r="G7" s="83">
        <v>88</v>
      </c>
      <c r="H7" s="83">
        <v>91</v>
      </c>
      <c r="I7" s="83">
        <f t="shared" si="1"/>
        <v>179</v>
      </c>
      <c r="J7" s="156" t="str">
        <f t="shared" si="2"/>
        <v>장려상</v>
      </c>
      <c r="L7" s="156">
        <v>2</v>
      </c>
      <c r="M7" s="156" t="s">
        <v>647</v>
      </c>
    </row>
    <row r="8" spans="1:13">
      <c r="A8" s="46" t="s">
        <v>648</v>
      </c>
      <c r="B8" s="48" t="s">
        <v>649</v>
      </c>
      <c r="C8" s="47" t="s">
        <v>650</v>
      </c>
      <c r="D8" s="156" t="str">
        <f t="shared" si="0"/>
        <v>여</v>
      </c>
      <c r="F8" s="48" t="s">
        <v>651</v>
      </c>
      <c r="G8" s="83">
        <v>91</v>
      </c>
      <c r="H8" s="83">
        <v>89</v>
      </c>
      <c r="I8" s="83">
        <f t="shared" si="1"/>
        <v>180</v>
      </c>
      <c r="J8" s="156" t="str">
        <f t="shared" si="2"/>
        <v>장려상</v>
      </c>
      <c r="L8" s="156">
        <v>3</v>
      </c>
      <c r="M8" s="156" t="s">
        <v>47</v>
      </c>
    </row>
    <row r="9" spans="1:13">
      <c r="A9" s="46" t="s">
        <v>652</v>
      </c>
      <c r="B9" s="48" t="s">
        <v>653</v>
      </c>
      <c r="C9" s="47" t="s">
        <v>654</v>
      </c>
      <c r="D9" s="156" t="str">
        <f t="shared" si="0"/>
        <v>여</v>
      </c>
      <c r="F9" s="48" t="s">
        <v>655</v>
      </c>
      <c r="G9" s="83">
        <v>89</v>
      </c>
      <c r="H9" s="83">
        <v>93</v>
      </c>
      <c r="I9" s="83">
        <f t="shared" si="1"/>
        <v>182</v>
      </c>
      <c r="J9" s="156" t="str">
        <f t="shared" si="2"/>
        <v>장려상</v>
      </c>
      <c r="L9" s="156">
        <v>4</v>
      </c>
      <c r="M9" s="156" t="s">
        <v>656</v>
      </c>
    </row>
    <row r="10" spans="1:13">
      <c r="A10" s="46" t="s">
        <v>657</v>
      </c>
      <c r="B10" s="48" t="s">
        <v>658</v>
      </c>
      <c r="C10" s="47" t="s">
        <v>659</v>
      </c>
      <c r="D10" s="156" t="str">
        <f t="shared" si="0"/>
        <v>여</v>
      </c>
      <c r="F10" s="48" t="s">
        <v>660</v>
      </c>
      <c r="G10" s="83">
        <v>97</v>
      </c>
      <c r="H10" s="83">
        <v>98</v>
      </c>
      <c r="I10" s="83">
        <f t="shared" si="1"/>
        <v>195</v>
      </c>
      <c r="J10" s="156" t="str">
        <f t="shared" si="2"/>
        <v>대상</v>
      </c>
      <c r="L10" s="156">
        <v>6</v>
      </c>
      <c r="M10" s="156" t="s">
        <v>661</v>
      </c>
    </row>
    <row r="11" spans="1:13">
      <c r="F11" s="156" t="s">
        <v>662</v>
      </c>
      <c r="G11" s="83">
        <v>94</v>
      </c>
      <c r="H11" s="83">
        <v>94</v>
      </c>
      <c r="I11" s="83">
        <f t="shared" si="1"/>
        <v>188</v>
      </c>
      <c r="J11" s="156" t="str">
        <f t="shared" si="2"/>
        <v>동상</v>
      </c>
    </row>
    <row r="13" spans="1:13">
      <c r="A13" s="162" t="s">
        <v>507</v>
      </c>
      <c r="B13" s="49" t="s">
        <v>663</v>
      </c>
      <c r="H13" s="162" t="s">
        <v>31</v>
      </c>
      <c r="I13" s="49" t="s">
        <v>664</v>
      </c>
    </row>
    <row r="14" spans="1:13">
      <c r="A14" s="155" t="s">
        <v>665</v>
      </c>
      <c r="B14" s="155" t="s">
        <v>666</v>
      </c>
      <c r="C14" s="155" t="s">
        <v>667</v>
      </c>
      <c r="D14" s="155" t="s">
        <v>32</v>
      </c>
      <c r="E14" s="155" t="s">
        <v>668</v>
      </c>
      <c r="F14" s="160" t="s">
        <v>669</v>
      </c>
      <c r="H14" s="155" t="s">
        <v>670</v>
      </c>
      <c r="I14" s="155" t="s">
        <v>671</v>
      </c>
      <c r="J14" s="155" t="s">
        <v>672</v>
      </c>
      <c r="K14" s="160" t="s">
        <v>673</v>
      </c>
    </row>
    <row r="15" spans="1:13">
      <c r="A15" s="165">
        <v>45828</v>
      </c>
      <c r="B15" s="155" t="s">
        <v>674</v>
      </c>
      <c r="C15" s="155" t="s">
        <v>814</v>
      </c>
      <c r="D15" s="155" t="s">
        <v>675</v>
      </c>
      <c r="E15" s="155" t="s">
        <v>676</v>
      </c>
      <c r="F15" s="155" t="str">
        <f>E15&amp;UPPER(TRIM(C15))</f>
        <v>종로CHEF</v>
      </c>
      <c r="H15" s="155" t="s">
        <v>677</v>
      </c>
      <c r="I15" s="90">
        <v>45903</v>
      </c>
      <c r="J15" s="33">
        <v>56000</v>
      </c>
      <c r="K15" s="155" t="str" cm="1">
        <f t="array" ref="K15">_xlfn.IFS(LEFT(H15,2)="FR","과일세트",LEFT(H15,2)="MT","고기세트",TRUE,"기타세트")</f>
        <v>과일세트</v>
      </c>
    </row>
    <row r="16" spans="1:13">
      <c r="A16" s="165">
        <v>45828</v>
      </c>
      <c r="B16" s="155" t="s">
        <v>678</v>
      </c>
      <c r="C16" s="155" t="s">
        <v>815</v>
      </c>
      <c r="D16" s="155" t="s">
        <v>679</v>
      </c>
      <c r="E16" s="155" t="s">
        <v>680</v>
      </c>
      <c r="F16" s="155" t="str">
        <f t="shared" ref="F16:F24" si="3">E16&amp;UPPER(TRIM(C16))</f>
        <v>강남DANCER</v>
      </c>
      <c r="H16" s="155" t="s">
        <v>681</v>
      </c>
      <c r="I16" s="90">
        <v>45905</v>
      </c>
      <c r="J16" s="33">
        <v>98000</v>
      </c>
      <c r="K16" s="187" t="str" cm="1">
        <f t="array" ref="K16">_xlfn.IFS(LEFT(H16,2)="FR","과일세트",LEFT(H16,2)="MT","고기세트",TRUE,"기타세트")</f>
        <v>고기세트</v>
      </c>
    </row>
    <row r="17" spans="1:11">
      <c r="A17" s="165">
        <v>45828</v>
      </c>
      <c r="B17" s="155" t="s">
        <v>682</v>
      </c>
      <c r="C17" s="155" t="s">
        <v>816</v>
      </c>
      <c r="D17" s="155" t="s">
        <v>683</v>
      </c>
      <c r="E17" s="155" t="s">
        <v>70</v>
      </c>
      <c r="F17" s="155" t="str">
        <f t="shared" si="3"/>
        <v>대전DOCTOR</v>
      </c>
      <c r="H17" s="155" t="s">
        <v>684</v>
      </c>
      <c r="I17" s="90">
        <v>45905</v>
      </c>
      <c r="J17" s="33">
        <v>36000</v>
      </c>
      <c r="K17" s="187" t="str" cm="1">
        <f t="array" ref="K17">_xlfn.IFS(LEFT(H17,2)="FR","과일세트",LEFT(H17,2)="MT","고기세트",TRUE,"기타세트")</f>
        <v>기타세트</v>
      </c>
    </row>
    <row r="18" spans="1:11">
      <c r="A18" s="165">
        <v>45828</v>
      </c>
      <c r="B18" s="155" t="s">
        <v>685</v>
      </c>
      <c r="C18" s="155" t="s">
        <v>817</v>
      </c>
      <c r="D18" s="155" t="s">
        <v>683</v>
      </c>
      <c r="E18" s="155" t="s">
        <v>686</v>
      </c>
      <c r="F18" s="155" t="str">
        <f t="shared" si="3"/>
        <v>울산ENGINEER</v>
      </c>
      <c r="H18" s="155" t="s">
        <v>687</v>
      </c>
      <c r="I18" s="90">
        <v>45908</v>
      </c>
      <c r="J18" s="33">
        <v>78000</v>
      </c>
      <c r="K18" s="187" t="str" cm="1">
        <f t="array" ref="K18">_xlfn.IFS(LEFT(H18,2)="FR","과일세트",LEFT(H18,2)="MT","고기세트",TRUE,"기타세트")</f>
        <v>고기세트</v>
      </c>
    </row>
    <row r="19" spans="1:11">
      <c r="A19" s="165">
        <v>45828</v>
      </c>
      <c r="B19" s="155" t="s">
        <v>688</v>
      </c>
      <c r="C19" s="155" t="s">
        <v>818</v>
      </c>
      <c r="D19" s="155" t="s">
        <v>675</v>
      </c>
      <c r="E19" s="155" t="s">
        <v>689</v>
      </c>
      <c r="F19" s="155" t="str">
        <f t="shared" si="3"/>
        <v>충주FARMER</v>
      </c>
      <c r="H19" s="155" t="s">
        <v>690</v>
      </c>
      <c r="I19" s="90">
        <v>45908</v>
      </c>
      <c r="J19" s="33">
        <v>45000</v>
      </c>
      <c r="K19" s="187" t="str" cm="1">
        <f t="array" ref="K19">_xlfn.IFS(LEFT(H19,2)="FR","과일세트",LEFT(H19,2)="MT","고기세트",TRUE,"기타세트")</f>
        <v>기타세트</v>
      </c>
    </row>
    <row r="20" spans="1:11">
      <c r="A20" s="165">
        <v>45828</v>
      </c>
      <c r="B20" s="155" t="s">
        <v>691</v>
      </c>
      <c r="C20" s="155" t="s">
        <v>819</v>
      </c>
      <c r="D20" s="155" t="s">
        <v>675</v>
      </c>
      <c r="E20" s="155" t="s">
        <v>692</v>
      </c>
      <c r="F20" s="155" t="str">
        <f t="shared" si="3"/>
        <v>송파RIDER</v>
      </c>
      <c r="H20" s="155" t="s">
        <v>693</v>
      </c>
      <c r="I20" s="90">
        <v>45910</v>
      </c>
      <c r="J20" s="33">
        <v>45000</v>
      </c>
      <c r="K20" s="187" t="str" cm="1">
        <f t="array" ref="K20">_xlfn.IFS(LEFT(H20,2)="FR","과일세트",LEFT(H20,2)="MT","고기세트",TRUE,"기타세트")</f>
        <v>과일세트</v>
      </c>
    </row>
    <row r="21" spans="1:11">
      <c r="A21" s="165">
        <v>45828</v>
      </c>
      <c r="B21" s="155" t="s">
        <v>694</v>
      </c>
      <c r="C21" s="155" t="s">
        <v>820</v>
      </c>
      <c r="D21" s="155" t="s">
        <v>35</v>
      </c>
      <c r="E21" s="155" t="s">
        <v>695</v>
      </c>
      <c r="F21" s="155" t="str">
        <f t="shared" si="3"/>
        <v>인천NURSE</v>
      </c>
      <c r="H21" s="155" t="s">
        <v>696</v>
      </c>
      <c r="I21" s="90">
        <v>45910</v>
      </c>
      <c r="J21" s="33">
        <v>55000</v>
      </c>
      <c r="K21" s="187" t="str" cm="1">
        <f t="array" ref="K21">_xlfn.IFS(LEFT(H21,2)="FR","과일세트",LEFT(H21,2)="MT","고기세트",TRUE,"기타세트")</f>
        <v>과일세트</v>
      </c>
    </row>
    <row r="22" spans="1:11">
      <c r="A22" s="165">
        <v>45828</v>
      </c>
      <c r="B22" s="155" t="s">
        <v>697</v>
      </c>
      <c r="C22" s="155" t="s">
        <v>821</v>
      </c>
      <c r="D22" s="155" t="s">
        <v>683</v>
      </c>
      <c r="E22" s="155" t="s">
        <v>698</v>
      </c>
      <c r="F22" s="155" t="str">
        <f t="shared" si="3"/>
        <v>강서TEACHER</v>
      </c>
      <c r="H22" s="155" t="s">
        <v>699</v>
      </c>
      <c r="I22" s="90">
        <v>45913</v>
      </c>
      <c r="J22" s="33">
        <v>42000</v>
      </c>
      <c r="K22" s="187" t="str" cm="1">
        <f t="array" ref="K22">_xlfn.IFS(LEFT(H22,2)="FR","과일세트",LEFT(H22,2)="MT","고기세트",TRUE,"기타세트")</f>
        <v>기타세트</v>
      </c>
    </row>
    <row r="23" spans="1:11">
      <c r="A23" s="165">
        <v>45828</v>
      </c>
      <c r="B23" s="155" t="s">
        <v>700</v>
      </c>
      <c r="C23" s="155" t="s">
        <v>822</v>
      </c>
      <c r="D23" s="155" t="s">
        <v>701</v>
      </c>
      <c r="E23" s="155" t="s">
        <v>702</v>
      </c>
      <c r="F23" s="155" t="str">
        <f t="shared" si="3"/>
        <v>철원SOLDIER</v>
      </c>
    </row>
    <row r="24" spans="1:11">
      <c r="A24" s="165">
        <v>45828</v>
      </c>
      <c r="B24" s="155" t="s">
        <v>703</v>
      </c>
      <c r="C24" s="155" t="s">
        <v>823</v>
      </c>
      <c r="D24" s="155" t="s">
        <v>675</v>
      </c>
      <c r="E24" s="155" t="s">
        <v>704</v>
      </c>
      <c r="F24" s="155" t="str">
        <f t="shared" si="3"/>
        <v>남해FISHER</v>
      </c>
    </row>
    <row r="26" spans="1:11">
      <c r="A26" s="162" t="s">
        <v>705</v>
      </c>
      <c r="B26" s="49" t="s">
        <v>706</v>
      </c>
      <c r="C26" s="139"/>
      <c r="D26" s="139"/>
      <c r="F26" t="s">
        <v>707</v>
      </c>
    </row>
    <row r="27" spans="1:11">
      <c r="A27" s="155" t="s">
        <v>666</v>
      </c>
      <c r="B27" s="155" t="s">
        <v>608</v>
      </c>
      <c r="C27" s="155" t="s">
        <v>708</v>
      </c>
      <c r="D27" s="155" t="s">
        <v>104</v>
      </c>
      <c r="F27" s="155" t="s">
        <v>709</v>
      </c>
      <c r="G27" s="158" t="s">
        <v>710</v>
      </c>
    </row>
    <row r="28" spans="1:11">
      <c r="A28" s="155" t="s">
        <v>711</v>
      </c>
      <c r="B28" s="155" t="s">
        <v>675</v>
      </c>
      <c r="C28" s="92" t="s">
        <v>712</v>
      </c>
      <c r="D28" s="92">
        <v>75</v>
      </c>
      <c r="F28" s="92">
        <v>80</v>
      </c>
      <c r="G28" s="93" t="s">
        <v>713</v>
      </c>
    </row>
    <row r="29" spans="1:11">
      <c r="A29" s="155" t="s">
        <v>714</v>
      </c>
      <c r="B29" s="155" t="s">
        <v>554</v>
      </c>
      <c r="C29" s="92" t="s">
        <v>715</v>
      </c>
      <c r="D29" s="92">
        <v>128</v>
      </c>
      <c r="F29" s="92">
        <v>110</v>
      </c>
      <c r="G29" s="93" t="s">
        <v>716</v>
      </c>
    </row>
    <row r="30" spans="1:11">
      <c r="A30" s="155" t="s">
        <v>717</v>
      </c>
      <c r="B30" s="155" t="s">
        <v>683</v>
      </c>
      <c r="C30" s="92" t="s">
        <v>177</v>
      </c>
      <c r="D30" s="92">
        <v>142</v>
      </c>
      <c r="F30" s="92">
        <v>145</v>
      </c>
      <c r="G30" s="93" t="s">
        <v>718</v>
      </c>
    </row>
    <row r="31" spans="1:11">
      <c r="A31" s="155" t="s">
        <v>719</v>
      </c>
      <c r="B31" s="155" t="s">
        <v>603</v>
      </c>
      <c r="C31" s="92" t="s">
        <v>720</v>
      </c>
      <c r="D31" s="92">
        <v>135</v>
      </c>
    </row>
    <row r="32" spans="1:11">
      <c r="A32" s="155" t="s">
        <v>688</v>
      </c>
      <c r="B32" s="155" t="s">
        <v>675</v>
      </c>
      <c r="C32" s="92" t="s">
        <v>721</v>
      </c>
      <c r="D32" s="92">
        <v>132</v>
      </c>
      <c r="F32" s="209" t="s">
        <v>722</v>
      </c>
      <c r="G32" s="209"/>
    </row>
    <row r="33" spans="1:7">
      <c r="A33" s="155" t="s">
        <v>723</v>
      </c>
      <c r="B33" s="155" t="s">
        <v>675</v>
      </c>
      <c r="C33" s="92" t="s">
        <v>720</v>
      </c>
      <c r="D33" s="92">
        <v>110</v>
      </c>
      <c r="F33" s="155" t="s">
        <v>708</v>
      </c>
      <c r="G33" s="160" t="s">
        <v>724</v>
      </c>
    </row>
    <row r="34" spans="1:7">
      <c r="A34" s="155" t="s">
        <v>725</v>
      </c>
      <c r="B34" s="155" t="s">
        <v>603</v>
      </c>
      <c r="C34" s="92" t="s">
        <v>726</v>
      </c>
      <c r="D34" s="92">
        <v>154</v>
      </c>
      <c r="F34" s="92" t="s">
        <v>177</v>
      </c>
      <c r="G34" s="155" t="str">
        <f>VLOOKUP(AVERAGEIF($C$28:$C$40,F34,$D$28:$D$40),$F$28:$G$30,2)</f>
        <v>고급</v>
      </c>
    </row>
    <row r="35" spans="1:7">
      <c r="A35" s="155" t="s">
        <v>697</v>
      </c>
      <c r="B35" s="155" t="s">
        <v>683</v>
      </c>
      <c r="C35" s="92" t="s">
        <v>721</v>
      </c>
      <c r="D35" s="92">
        <v>104</v>
      </c>
      <c r="F35" s="92" t="s">
        <v>721</v>
      </c>
      <c r="G35" s="155" t="str">
        <f>VLOOKUP(AVERAGEIF($C$28:$C$40,F35,$D$28:$D$40),$F$28:$G$30,2)</f>
        <v>중급</v>
      </c>
    </row>
    <row r="36" spans="1:7">
      <c r="A36" s="155" t="s">
        <v>727</v>
      </c>
      <c r="B36" s="155" t="s">
        <v>683</v>
      </c>
      <c r="C36" s="92" t="s">
        <v>720</v>
      </c>
      <c r="D36" s="92">
        <v>125</v>
      </c>
      <c r="F36" s="92" t="s">
        <v>720</v>
      </c>
      <c r="G36" s="155" t="str">
        <f>VLOOKUP(AVERAGEIF($C$28:$C$40,F36,$D$28:$D$40),$F$28:$G$30,2)</f>
        <v>중급</v>
      </c>
    </row>
    <row r="37" spans="1:7">
      <c r="A37" s="155" t="s">
        <v>728</v>
      </c>
      <c r="B37" s="155" t="s">
        <v>675</v>
      </c>
      <c r="C37" s="92" t="s">
        <v>729</v>
      </c>
      <c r="D37" s="92">
        <v>175</v>
      </c>
    </row>
    <row r="38" spans="1:7">
      <c r="A38" s="92" t="s">
        <v>730</v>
      </c>
      <c r="B38" s="92" t="s">
        <v>603</v>
      </c>
      <c r="C38" s="92" t="s">
        <v>729</v>
      </c>
      <c r="D38" s="92">
        <v>163</v>
      </c>
    </row>
    <row r="39" spans="1:7">
      <c r="A39" s="92" t="s">
        <v>731</v>
      </c>
      <c r="B39" s="92" t="s">
        <v>603</v>
      </c>
      <c r="C39" s="92" t="s">
        <v>721</v>
      </c>
      <c r="D39" s="92">
        <v>142</v>
      </c>
    </row>
    <row r="40" spans="1:7">
      <c r="A40" s="92" t="s">
        <v>732</v>
      </c>
      <c r="B40" s="92" t="s">
        <v>554</v>
      </c>
      <c r="C40" s="92" t="s">
        <v>729</v>
      </c>
      <c r="D40" s="92">
        <v>172</v>
      </c>
    </row>
  </sheetData>
  <mergeCells count="2">
    <mergeCell ref="L4:M4"/>
    <mergeCell ref="F32:G3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36"/>
  <sheetViews>
    <sheetView workbookViewId="0">
      <selection activeCell="D27" sqref="D27:D36"/>
    </sheetView>
  </sheetViews>
  <sheetFormatPr defaultRowHeight="16.5"/>
  <cols>
    <col min="1" max="1" width="13.125" bestFit="1" customWidth="1"/>
    <col min="3" max="3" width="14.25" bestFit="1" customWidth="1"/>
    <col min="4" max="4" width="16.125" bestFit="1" customWidth="1"/>
    <col min="7" max="7" width="1.625" customWidth="1"/>
    <col min="8" max="8" width="12.375" bestFit="1" customWidth="1"/>
    <col min="9" max="9" width="10" customWidth="1"/>
    <col min="10" max="10" width="11.125" bestFit="1" customWidth="1"/>
    <col min="11" max="11" width="13.875" customWidth="1"/>
  </cols>
  <sheetData>
    <row r="1" spans="1:13">
      <c r="A1" s="58" t="s">
        <v>834</v>
      </c>
      <c r="B1" s="59" t="s">
        <v>919</v>
      </c>
      <c r="C1" s="60"/>
      <c r="D1" s="60"/>
      <c r="E1" s="60"/>
      <c r="F1" s="60"/>
      <c r="H1" s="58" t="s">
        <v>938</v>
      </c>
      <c r="I1" s="85" t="s">
        <v>944</v>
      </c>
      <c r="L1" t="s">
        <v>942</v>
      </c>
    </row>
    <row r="2" spans="1:13">
      <c r="A2" s="173" t="s">
        <v>920</v>
      </c>
      <c r="B2" s="173" t="s">
        <v>926</v>
      </c>
      <c r="C2" s="128" t="s">
        <v>916</v>
      </c>
      <c r="D2" s="128" t="s">
        <v>917</v>
      </c>
      <c r="E2" s="128" t="s">
        <v>918</v>
      </c>
      <c r="F2" s="64" t="s">
        <v>38</v>
      </c>
      <c r="H2" s="174" t="s">
        <v>889</v>
      </c>
      <c r="I2" s="174" t="s">
        <v>893</v>
      </c>
      <c r="J2" s="175" t="s">
        <v>943</v>
      </c>
      <c r="L2" s="34" t="s">
        <v>98</v>
      </c>
      <c r="M2" s="34" t="s">
        <v>122</v>
      </c>
    </row>
    <row r="3" spans="1:13">
      <c r="A3" s="173" t="s">
        <v>921</v>
      </c>
      <c r="B3" s="173" t="s">
        <v>927</v>
      </c>
      <c r="C3" s="102">
        <v>70</v>
      </c>
      <c r="D3" s="102">
        <v>65</v>
      </c>
      <c r="E3" s="102">
        <v>72</v>
      </c>
      <c r="F3" s="61" t="str">
        <f>IF(AND(SUM(C3:D3)&gt;=190,E3&gt;=90),"장학생","")</f>
        <v/>
      </c>
      <c r="H3" s="174" t="s">
        <v>97</v>
      </c>
      <c r="I3" s="174" t="s">
        <v>894</v>
      </c>
      <c r="J3" s="171" t="str">
        <f t="shared" ref="J3:J10" si="0">VLOOKUP(RIGHT(H3,1),$L$3:$M$10,2,FALSE)</f>
        <v>수요일</v>
      </c>
      <c r="L3" s="113" t="s">
        <v>96</v>
      </c>
      <c r="M3" s="34" t="s">
        <v>95</v>
      </c>
    </row>
    <row r="4" spans="1:13">
      <c r="A4" s="173" t="s">
        <v>922</v>
      </c>
      <c r="B4" s="173" t="s">
        <v>928</v>
      </c>
      <c r="C4" s="102">
        <v>95</v>
      </c>
      <c r="D4" s="102">
        <v>95</v>
      </c>
      <c r="E4" s="102">
        <v>95</v>
      </c>
      <c r="F4" s="61" t="str">
        <f t="shared" ref="F4:F10" si="1">IF(AND(SUM(C4:D4)&gt;=190,E4&gt;=90),"장학생","")</f>
        <v>장학생</v>
      </c>
      <c r="H4" s="174" t="s">
        <v>94</v>
      </c>
      <c r="I4" s="171" t="s">
        <v>895</v>
      </c>
      <c r="J4" s="171" t="str">
        <f t="shared" si="0"/>
        <v>월요일</v>
      </c>
      <c r="L4" s="113" t="s">
        <v>93</v>
      </c>
      <c r="M4" s="34" t="s">
        <v>92</v>
      </c>
    </row>
    <row r="5" spans="1:13">
      <c r="A5" s="173" t="s">
        <v>923</v>
      </c>
      <c r="B5" s="173" t="s">
        <v>929</v>
      </c>
      <c r="C5" s="102">
        <v>85</v>
      </c>
      <c r="D5" s="102">
        <v>85</v>
      </c>
      <c r="E5" s="102">
        <v>71</v>
      </c>
      <c r="F5" s="61" t="str">
        <f t="shared" si="1"/>
        <v/>
      </c>
      <c r="H5" s="174" t="s">
        <v>91</v>
      </c>
      <c r="I5" s="171" t="s">
        <v>896</v>
      </c>
      <c r="J5" s="171" t="str">
        <f t="shared" si="0"/>
        <v>화요일</v>
      </c>
      <c r="L5" s="113" t="s">
        <v>90</v>
      </c>
      <c r="M5" s="34" t="s">
        <v>81</v>
      </c>
    </row>
    <row r="6" spans="1:13">
      <c r="A6" s="173" t="s">
        <v>924</v>
      </c>
      <c r="B6" s="173" t="s">
        <v>930</v>
      </c>
      <c r="C6" s="102">
        <v>90</v>
      </c>
      <c r="D6" s="102">
        <v>95</v>
      </c>
      <c r="E6" s="102">
        <v>100</v>
      </c>
      <c r="F6" s="61" t="str">
        <f t="shared" si="1"/>
        <v/>
      </c>
      <c r="H6" s="174" t="s">
        <v>89</v>
      </c>
      <c r="I6" s="171" t="s">
        <v>897</v>
      </c>
      <c r="J6" s="171" t="str">
        <f t="shared" si="0"/>
        <v>목요일</v>
      </c>
      <c r="L6" s="113" t="s">
        <v>88</v>
      </c>
      <c r="M6" s="34" t="s">
        <v>79</v>
      </c>
    </row>
    <row r="7" spans="1:13">
      <c r="A7" s="173" t="s">
        <v>922</v>
      </c>
      <c r="B7" s="173" t="s">
        <v>931</v>
      </c>
      <c r="C7" s="102">
        <v>60</v>
      </c>
      <c r="D7" s="102">
        <v>55</v>
      </c>
      <c r="E7" s="102">
        <v>60</v>
      </c>
      <c r="F7" s="61" t="str">
        <f t="shared" si="1"/>
        <v/>
      </c>
      <c r="H7" s="174" t="s">
        <v>87</v>
      </c>
      <c r="I7" s="171" t="s">
        <v>898</v>
      </c>
      <c r="J7" s="171" t="str">
        <f t="shared" si="0"/>
        <v>화요일</v>
      </c>
      <c r="L7" s="113" t="s">
        <v>890</v>
      </c>
      <c r="M7" s="34" t="s">
        <v>86</v>
      </c>
    </row>
    <row r="8" spans="1:13">
      <c r="A8" s="173" t="s">
        <v>925</v>
      </c>
      <c r="B8" s="173" t="s">
        <v>932</v>
      </c>
      <c r="C8" s="102">
        <v>100</v>
      </c>
      <c r="D8" s="102">
        <v>90</v>
      </c>
      <c r="E8" s="102">
        <v>95</v>
      </c>
      <c r="F8" s="61" t="str">
        <f t="shared" si="1"/>
        <v>장학생</v>
      </c>
      <c r="H8" s="174" t="s">
        <v>85</v>
      </c>
      <c r="I8" s="171" t="s">
        <v>899</v>
      </c>
      <c r="J8" s="171" t="str">
        <f t="shared" si="0"/>
        <v>목요일</v>
      </c>
      <c r="L8" s="113" t="s">
        <v>891</v>
      </c>
      <c r="M8" s="34" t="s">
        <v>84</v>
      </c>
    </row>
    <row r="9" spans="1:13">
      <c r="A9" s="173" t="s">
        <v>921</v>
      </c>
      <c r="B9" s="173" t="s">
        <v>933</v>
      </c>
      <c r="C9" s="102">
        <v>90</v>
      </c>
      <c r="D9" s="102">
        <v>95</v>
      </c>
      <c r="E9" s="102">
        <v>89</v>
      </c>
      <c r="F9" s="61" t="str">
        <f t="shared" si="1"/>
        <v/>
      </c>
      <c r="H9" s="174" t="s">
        <v>83</v>
      </c>
      <c r="I9" s="171" t="s">
        <v>900</v>
      </c>
      <c r="J9" s="171" t="str">
        <f t="shared" si="0"/>
        <v>수요일</v>
      </c>
      <c r="L9" s="113" t="s">
        <v>82</v>
      </c>
      <c r="M9" s="34" t="s">
        <v>81</v>
      </c>
    </row>
    <row r="10" spans="1:13">
      <c r="A10" s="173" t="s">
        <v>921</v>
      </c>
      <c r="B10" s="173" t="s">
        <v>934</v>
      </c>
      <c r="C10" s="102">
        <v>85</v>
      </c>
      <c r="D10" s="102">
        <v>80</v>
      </c>
      <c r="E10" s="102">
        <v>65</v>
      </c>
      <c r="F10" s="61" t="str">
        <f t="shared" si="1"/>
        <v/>
      </c>
      <c r="H10" s="174" t="s">
        <v>80</v>
      </c>
      <c r="I10" s="171" t="s">
        <v>901</v>
      </c>
      <c r="J10" s="171" t="str">
        <f t="shared" si="0"/>
        <v>월요일</v>
      </c>
      <c r="L10" s="113" t="s">
        <v>892</v>
      </c>
      <c r="M10" s="34" t="s">
        <v>79</v>
      </c>
    </row>
    <row r="12" spans="1:13">
      <c r="A12" s="84" t="s">
        <v>30</v>
      </c>
      <c r="B12" s="85" t="s">
        <v>758</v>
      </c>
      <c r="H12" s="35" t="s">
        <v>940</v>
      </c>
      <c r="I12" s="49" t="s">
        <v>945</v>
      </c>
      <c r="J12" s="36"/>
      <c r="K12" s="36"/>
    </row>
    <row r="13" spans="1:13">
      <c r="A13" s="171" t="s">
        <v>57</v>
      </c>
      <c r="B13" s="171" t="s">
        <v>55</v>
      </c>
      <c r="C13" s="171" t="s">
        <v>58</v>
      </c>
      <c r="D13" s="175" t="s">
        <v>74</v>
      </c>
      <c r="H13" s="50" t="s">
        <v>734</v>
      </c>
      <c r="I13" s="50" t="s">
        <v>906</v>
      </c>
      <c r="J13" s="50" t="s">
        <v>907</v>
      </c>
      <c r="K13" s="45" t="s">
        <v>902</v>
      </c>
    </row>
    <row r="14" spans="1:13">
      <c r="A14" s="171" t="s">
        <v>760</v>
      </c>
      <c r="B14" s="171" t="s">
        <v>54</v>
      </c>
      <c r="C14" s="171" t="s">
        <v>761</v>
      </c>
      <c r="D14" s="171" t="str">
        <f t="shared" ref="D14:D23" si="2">IF(MID(C14,8,1)&lt;="2","19","20")&amp;LEFT(C14,2)&amp;"년"&amp;MID(C14,3,2)&amp;"월"&amp;MID(C14,5,2)&amp;"일"</f>
        <v>1992년02월22일</v>
      </c>
      <c r="H14" s="172" t="s">
        <v>9</v>
      </c>
      <c r="I14" s="172" t="s">
        <v>10</v>
      </c>
      <c r="J14" s="172" t="s">
        <v>908</v>
      </c>
      <c r="K14" s="172" t="str">
        <f t="shared" ref="K14:K21" si="3">IFERROR(HLOOKUP(LEFT(H14,1),$I$24:$K$25,2,FALSE),"코드오류")</f>
        <v>분재</v>
      </c>
    </row>
    <row r="15" spans="1:13">
      <c r="A15" s="171" t="s">
        <v>762</v>
      </c>
      <c r="B15" s="171" t="s">
        <v>53</v>
      </c>
      <c r="C15" s="171" t="s">
        <v>763</v>
      </c>
      <c r="D15" s="171" t="str">
        <f t="shared" si="2"/>
        <v>1985년10월19일</v>
      </c>
      <c r="H15" s="172" t="s">
        <v>11</v>
      </c>
      <c r="I15" s="172" t="s">
        <v>12</v>
      </c>
      <c r="J15" s="172" t="s">
        <v>909</v>
      </c>
      <c r="K15" s="172" t="str">
        <f t="shared" si="3"/>
        <v>화분</v>
      </c>
    </row>
    <row r="16" spans="1:13">
      <c r="A16" s="171" t="s">
        <v>764</v>
      </c>
      <c r="B16" s="171" t="s">
        <v>35</v>
      </c>
      <c r="C16" s="171" t="s">
        <v>765</v>
      </c>
      <c r="D16" s="171" t="str">
        <f t="shared" si="2"/>
        <v>1999년11월11일</v>
      </c>
      <c r="H16" s="172" t="s">
        <v>13</v>
      </c>
      <c r="I16" s="172" t="s">
        <v>14</v>
      </c>
      <c r="J16" s="172" t="s">
        <v>910</v>
      </c>
      <c r="K16" s="172" t="str">
        <f t="shared" si="3"/>
        <v>꽃상자</v>
      </c>
    </row>
    <row r="17" spans="1:11">
      <c r="A17" s="171" t="s">
        <v>766</v>
      </c>
      <c r="B17" s="171" t="s">
        <v>54</v>
      </c>
      <c r="C17" s="171" t="s">
        <v>767</v>
      </c>
      <c r="D17" s="171" t="str">
        <f t="shared" si="2"/>
        <v>2000년01월05일</v>
      </c>
      <c r="H17" s="172" t="s">
        <v>15</v>
      </c>
      <c r="I17" s="172" t="s">
        <v>16</v>
      </c>
      <c r="J17" s="172" t="s">
        <v>911</v>
      </c>
      <c r="K17" s="172" t="str">
        <f t="shared" si="3"/>
        <v>분재</v>
      </c>
    </row>
    <row r="18" spans="1:11">
      <c r="A18" s="171" t="s">
        <v>768</v>
      </c>
      <c r="B18" s="171" t="s">
        <v>53</v>
      </c>
      <c r="C18" s="171" t="s">
        <v>769</v>
      </c>
      <c r="D18" s="171" t="str">
        <f t="shared" si="2"/>
        <v>1982년02월02일</v>
      </c>
      <c r="H18" s="172" t="s">
        <v>17</v>
      </c>
      <c r="I18" s="172" t="s">
        <v>18</v>
      </c>
      <c r="J18" s="172" t="s">
        <v>912</v>
      </c>
      <c r="K18" s="172" t="str">
        <f t="shared" si="3"/>
        <v>꽃상자</v>
      </c>
    </row>
    <row r="19" spans="1:11">
      <c r="A19" s="171" t="s">
        <v>770</v>
      </c>
      <c r="B19" s="171" t="s">
        <v>54</v>
      </c>
      <c r="C19" s="171" t="s">
        <v>771</v>
      </c>
      <c r="D19" s="171" t="str">
        <f t="shared" si="2"/>
        <v>1997년09월20일</v>
      </c>
      <c r="H19" s="172" t="s">
        <v>19</v>
      </c>
      <c r="I19" s="172" t="s">
        <v>20</v>
      </c>
      <c r="J19" s="172" t="s">
        <v>913</v>
      </c>
      <c r="K19" s="172" t="str">
        <f t="shared" si="3"/>
        <v>화분</v>
      </c>
    </row>
    <row r="20" spans="1:11">
      <c r="A20" s="171" t="s">
        <v>772</v>
      </c>
      <c r="B20" s="171" t="s">
        <v>35</v>
      </c>
      <c r="C20" s="171" t="s">
        <v>773</v>
      </c>
      <c r="D20" s="171" t="str">
        <f t="shared" si="2"/>
        <v>2001년12월11일</v>
      </c>
      <c r="H20" s="172" t="s">
        <v>21</v>
      </c>
      <c r="I20" s="172" t="s">
        <v>22</v>
      </c>
      <c r="J20" s="172" t="s">
        <v>914</v>
      </c>
      <c r="K20" s="172" t="str">
        <f t="shared" si="3"/>
        <v>분재</v>
      </c>
    </row>
    <row r="21" spans="1:11">
      <c r="A21" s="171" t="s">
        <v>774</v>
      </c>
      <c r="B21" s="171" t="s">
        <v>54</v>
      </c>
      <c r="C21" s="171" t="s">
        <v>775</v>
      </c>
      <c r="D21" s="171" t="str">
        <f t="shared" si="2"/>
        <v>1981년04월09일</v>
      </c>
      <c r="H21" s="172" t="s">
        <v>23</v>
      </c>
      <c r="I21" s="172" t="s">
        <v>24</v>
      </c>
      <c r="J21" s="172" t="s">
        <v>915</v>
      </c>
      <c r="K21" s="172" t="str">
        <f t="shared" si="3"/>
        <v>코드오류</v>
      </c>
    </row>
    <row r="22" spans="1:11">
      <c r="A22" s="171" t="s">
        <v>776</v>
      </c>
      <c r="B22" s="171" t="s">
        <v>53</v>
      </c>
      <c r="C22" s="171" t="s">
        <v>777</v>
      </c>
      <c r="D22" s="171" t="str">
        <f t="shared" si="2"/>
        <v>1992년11월21일</v>
      </c>
      <c r="H22" s="177"/>
      <c r="I22" s="177"/>
      <c r="J22" s="177"/>
      <c r="K22" s="177"/>
    </row>
    <row r="23" spans="1:11" ht="17.25" thickBot="1">
      <c r="A23" s="171" t="s">
        <v>778</v>
      </c>
      <c r="B23" s="171" t="s">
        <v>53</v>
      </c>
      <c r="C23" s="171" t="s">
        <v>73</v>
      </c>
      <c r="D23" s="171" t="str">
        <f t="shared" si="2"/>
        <v>2002년05월21일</v>
      </c>
      <c r="H23" s="36" t="s">
        <v>937</v>
      </c>
      <c r="I23" s="36"/>
      <c r="J23" s="36"/>
      <c r="K23" s="36"/>
    </row>
    <row r="24" spans="1:11">
      <c r="H24" s="51" t="s">
        <v>935</v>
      </c>
      <c r="I24" s="52" t="s">
        <v>25</v>
      </c>
      <c r="J24" s="53" t="s">
        <v>26</v>
      </c>
      <c r="K24" s="54" t="s">
        <v>27</v>
      </c>
    </row>
    <row r="25" spans="1:11" ht="17.25" thickBot="1">
      <c r="A25" s="35" t="s">
        <v>941</v>
      </c>
      <c r="B25" s="85" t="s">
        <v>48</v>
      </c>
      <c r="C25" s="16"/>
      <c r="D25" s="16"/>
      <c r="H25" s="51" t="s">
        <v>936</v>
      </c>
      <c r="I25" s="55" t="s">
        <v>903</v>
      </c>
      <c r="J25" s="56" t="s">
        <v>904</v>
      </c>
      <c r="K25" s="57" t="s">
        <v>905</v>
      </c>
    </row>
    <row r="26" spans="1:11">
      <c r="A26" s="172" t="s">
        <v>49</v>
      </c>
      <c r="B26" s="172" t="s">
        <v>50</v>
      </c>
      <c r="C26" s="172" t="s">
        <v>51</v>
      </c>
      <c r="D26" s="170" t="s">
        <v>52</v>
      </c>
    </row>
    <row r="27" spans="1:11">
      <c r="A27" s="172" t="s">
        <v>824</v>
      </c>
      <c r="B27" s="172">
        <v>5</v>
      </c>
      <c r="C27" s="86">
        <v>1760000</v>
      </c>
      <c r="D27" s="172" t="str">
        <f t="shared" ref="D27:D36" si="4">CHOOSE(_xlfn.RANK.EQ(C27,$C$27:$C$36),"MVG","MVG","골드","골드","골드","일반","일반","일반","일반","일반")</f>
        <v>일반</v>
      </c>
    </row>
    <row r="28" spans="1:11">
      <c r="A28" s="172" t="s">
        <v>825</v>
      </c>
      <c r="B28" s="172">
        <v>12</v>
      </c>
      <c r="C28" s="86">
        <v>4230000</v>
      </c>
      <c r="D28" s="172" t="str">
        <f t="shared" si="4"/>
        <v>일반</v>
      </c>
    </row>
    <row r="29" spans="1:11">
      <c r="A29" s="172" t="s">
        <v>826</v>
      </c>
      <c r="B29" s="172">
        <v>24</v>
      </c>
      <c r="C29" s="86">
        <v>7800000</v>
      </c>
      <c r="D29" s="172" t="str">
        <f t="shared" si="4"/>
        <v>골드</v>
      </c>
    </row>
    <row r="30" spans="1:11">
      <c r="A30" s="172" t="s">
        <v>827</v>
      </c>
      <c r="B30" s="172">
        <v>8</v>
      </c>
      <c r="C30" s="86">
        <v>2820000</v>
      </c>
      <c r="D30" s="172" t="str">
        <f t="shared" si="4"/>
        <v>일반</v>
      </c>
    </row>
    <row r="31" spans="1:11">
      <c r="A31" s="172" t="s">
        <v>828</v>
      </c>
      <c r="B31" s="172">
        <v>11</v>
      </c>
      <c r="C31" s="86">
        <v>3880000</v>
      </c>
      <c r="D31" s="172" t="str">
        <f t="shared" si="4"/>
        <v>일반</v>
      </c>
    </row>
    <row r="32" spans="1:11">
      <c r="A32" s="172" t="s">
        <v>829</v>
      </c>
      <c r="B32" s="172">
        <v>22</v>
      </c>
      <c r="C32" s="86">
        <v>7750000</v>
      </c>
      <c r="D32" s="172" t="str">
        <f t="shared" si="4"/>
        <v>골드</v>
      </c>
    </row>
    <row r="33" spans="1:4">
      <c r="A33" s="172" t="s">
        <v>830</v>
      </c>
      <c r="B33" s="172">
        <v>16</v>
      </c>
      <c r="C33" s="86">
        <v>5640000</v>
      </c>
      <c r="D33" s="172" t="str">
        <f t="shared" si="4"/>
        <v>일반</v>
      </c>
    </row>
    <row r="34" spans="1:4">
      <c r="A34" s="172" t="s">
        <v>831</v>
      </c>
      <c r="B34" s="172">
        <v>27</v>
      </c>
      <c r="C34" s="86">
        <v>9510000</v>
      </c>
      <c r="D34" s="172" t="str">
        <f t="shared" si="4"/>
        <v>MVG</v>
      </c>
    </row>
    <row r="35" spans="1:4">
      <c r="A35" s="172" t="s">
        <v>832</v>
      </c>
      <c r="B35" s="172">
        <v>24</v>
      </c>
      <c r="C35" s="86">
        <v>8450000</v>
      </c>
      <c r="D35" s="172" t="str">
        <f t="shared" si="4"/>
        <v>MVG</v>
      </c>
    </row>
    <row r="36" spans="1:4">
      <c r="A36" s="172" t="s">
        <v>833</v>
      </c>
      <c r="B36" s="172">
        <v>18</v>
      </c>
      <c r="C36" s="86">
        <v>6340000</v>
      </c>
      <c r="D36" s="172" t="str">
        <f t="shared" si="4"/>
        <v>골드</v>
      </c>
    </row>
  </sheetData>
  <phoneticPr fontId="4" type="noConversion"/>
  <pageMargins left="0.7" right="0.7" top="0.75" bottom="0.75" header="0.3" footer="0.3"/>
  <ignoredErrors>
    <ignoredError sqref="L3:L10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42"/>
  <sheetViews>
    <sheetView topLeftCell="C12" workbookViewId="0">
      <selection activeCell="F12" sqref="F12"/>
    </sheetView>
  </sheetViews>
  <sheetFormatPr defaultRowHeight="16.5"/>
  <cols>
    <col min="1" max="1" width="12.375" bestFit="1" customWidth="1"/>
    <col min="2" max="2" width="11.125" customWidth="1"/>
    <col min="3" max="3" width="14.125" bestFit="1" customWidth="1"/>
    <col min="4" max="4" width="15" bestFit="1" customWidth="1"/>
    <col min="5" max="5" width="11.375" bestFit="1" customWidth="1"/>
    <col min="6" max="6" width="11.875" bestFit="1" customWidth="1"/>
    <col min="7" max="7" width="13.875" bestFit="1" customWidth="1"/>
    <col min="8" max="8" width="10.625" bestFit="1" customWidth="1"/>
    <col min="9" max="9" width="14.375" bestFit="1" customWidth="1"/>
    <col min="10" max="10" width="10.625" bestFit="1" customWidth="1"/>
  </cols>
  <sheetData>
    <row r="1" spans="1:10">
      <c r="A1" s="176" t="s">
        <v>733</v>
      </c>
      <c r="B1" s="59" t="s">
        <v>859</v>
      </c>
      <c r="C1" s="60"/>
      <c r="D1" s="60"/>
      <c r="F1" s="91" t="s">
        <v>478</v>
      </c>
      <c r="G1" s="85" t="s">
        <v>946</v>
      </c>
    </row>
    <row r="2" spans="1:10">
      <c r="A2" s="166" t="s">
        <v>835</v>
      </c>
      <c r="B2" s="166" t="s">
        <v>844</v>
      </c>
      <c r="C2" s="166" t="s">
        <v>852</v>
      </c>
      <c r="D2" s="166" t="s">
        <v>861</v>
      </c>
      <c r="F2" s="155" t="s">
        <v>947</v>
      </c>
      <c r="G2" s="155" t="s">
        <v>948</v>
      </c>
      <c r="H2" s="155" t="s">
        <v>735</v>
      </c>
      <c r="I2" s="155" t="s">
        <v>736</v>
      </c>
      <c r="J2" s="160" t="s">
        <v>949</v>
      </c>
    </row>
    <row r="3" spans="1:10">
      <c r="A3" s="166" t="s">
        <v>836</v>
      </c>
      <c r="B3" s="166" t="s">
        <v>845</v>
      </c>
      <c r="C3" s="166" t="s">
        <v>853</v>
      </c>
      <c r="D3" s="62">
        <v>1250000</v>
      </c>
      <c r="F3" s="181" t="s">
        <v>737</v>
      </c>
      <c r="G3" s="155" t="s">
        <v>738</v>
      </c>
      <c r="H3" s="150">
        <v>369000</v>
      </c>
      <c r="I3" s="155" t="s">
        <v>739</v>
      </c>
      <c r="J3" s="90">
        <f t="shared" ref="J3:J11" si="0">DATE(2000+LEFT(F3,2),MID(F3,3,2),MID(F3,5,2))</f>
        <v>44740</v>
      </c>
    </row>
    <row r="4" spans="1:10">
      <c r="A4" s="166" t="s">
        <v>837</v>
      </c>
      <c r="B4" s="166" t="s">
        <v>846</v>
      </c>
      <c r="C4" s="166" t="s">
        <v>854</v>
      </c>
      <c r="D4" s="62">
        <v>1000000</v>
      </c>
      <c r="F4" s="181" t="s">
        <v>740</v>
      </c>
      <c r="G4" s="155" t="s">
        <v>741</v>
      </c>
      <c r="H4" s="150">
        <v>745000</v>
      </c>
      <c r="I4" s="155" t="s">
        <v>742</v>
      </c>
      <c r="J4" s="90">
        <f t="shared" si="0"/>
        <v>44291</v>
      </c>
    </row>
    <row r="5" spans="1:10">
      <c r="A5" s="166" t="s">
        <v>838</v>
      </c>
      <c r="B5" s="166" t="s">
        <v>847</v>
      </c>
      <c r="C5" s="166" t="s">
        <v>855</v>
      </c>
      <c r="D5" s="62">
        <v>1340000</v>
      </c>
      <c r="F5" s="181" t="s">
        <v>743</v>
      </c>
      <c r="G5" s="155" t="s">
        <v>744</v>
      </c>
      <c r="H5" s="150">
        <v>1860000</v>
      </c>
      <c r="I5" s="155" t="s">
        <v>745</v>
      </c>
      <c r="J5" s="90">
        <f t="shared" si="0"/>
        <v>44329</v>
      </c>
    </row>
    <row r="6" spans="1:10">
      <c r="A6" s="166" t="s">
        <v>839</v>
      </c>
      <c r="B6" s="166" t="s">
        <v>848</v>
      </c>
      <c r="C6" s="166" t="s">
        <v>856</v>
      </c>
      <c r="D6" s="62">
        <v>1090000</v>
      </c>
      <c r="F6" s="181" t="s">
        <v>1045</v>
      </c>
      <c r="G6" s="155" t="s">
        <v>746</v>
      </c>
      <c r="H6" s="150">
        <v>419000</v>
      </c>
      <c r="I6" s="155" t="s">
        <v>747</v>
      </c>
      <c r="J6" s="90">
        <f t="shared" si="0"/>
        <v>44948</v>
      </c>
    </row>
    <row r="7" spans="1:10">
      <c r="A7" s="166" t="s">
        <v>840</v>
      </c>
      <c r="B7" s="166" t="s">
        <v>849</v>
      </c>
      <c r="C7" s="166" t="s">
        <v>857</v>
      </c>
      <c r="D7" s="62">
        <v>1290000</v>
      </c>
      <c r="F7" s="181" t="s">
        <v>748</v>
      </c>
      <c r="G7" s="155" t="s">
        <v>749</v>
      </c>
      <c r="H7" s="150">
        <v>499000</v>
      </c>
      <c r="I7" s="155" t="s">
        <v>747</v>
      </c>
      <c r="J7" s="90">
        <f t="shared" si="0"/>
        <v>43829</v>
      </c>
    </row>
    <row r="8" spans="1:10">
      <c r="A8" s="166" t="s">
        <v>841</v>
      </c>
      <c r="B8" s="166" t="s">
        <v>846</v>
      </c>
      <c r="C8" s="166" t="s">
        <v>856</v>
      </c>
      <c r="D8" s="62">
        <v>1150000</v>
      </c>
      <c r="F8" s="181" t="s">
        <v>750</v>
      </c>
      <c r="G8" s="155" t="s">
        <v>751</v>
      </c>
      <c r="H8" s="150">
        <v>189000</v>
      </c>
      <c r="I8" s="155" t="s">
        <v>752</v>
      </c>
      <c r="J8" s="90">
        <f t="shared" si="0"/>
        <v>44171</v>
      </c>
    </row>
    <row r="9" spans="1:10">
      <c r="A9" s="166" t="s">
        <v>842</v>
      </c>
      <c r="B9" s="166" t="s">
        <v>850</v>
      </c>
      <c r="C9" s="166" t="s">
        <v>858</v>
      </c>
      <c r="D9" s="62">
        <v>1320000</v>
      </c>
      <c r="F9" s="181" t="s">
        <v>1046</v>
      </c>
      <c r="G9" s="155" t="s">
        <v>753</v>
      </c>
      <c r="H9" s="150">
        <v>149000</v>
      </c>
      <c r="I9" s="155" t="s">
        <v>754</v>
      </c>
      <c r="J9" s="90">
        <f t="shared" si="0"/>
        <v>45636</v>
      </c>
    </row>
    <row r="10" spans="1:10">
      <c r="A10" s="166" t="s">
        <v>843</v>
      </c>
      <c r="B10" s="166" t="s">
        <v>851</v>
      </c>
      <c r="C10" s="166" t="s">
        <v>857</v>
      </c>
      <c r="D10" s="62">
        <v>1330000</v>
      </c>
      <c r="F10" s="181" t="s">
        <v>755</v>
      </c>
      <c r="G10" s="155" t="s">
        <v>756</v>
      </c>
      <c r="H10" s="150">
        <v>315000</v>
      </c>
      <c r="I10" s="155" t="s">
        <v>747</v>
      </c>
      <c r="J10" s="90">
        <f t="shared" si="0"/>
        <v>44632</v>
      </c>
    </row>
    <row r="11" spans="1:10">
      <c r="A11" s="216" t="s">
        <v>860</v>
      </c>
      <c r="B11" s="217"/>
      <c r="C11" s="218"/>
      <c r="D11" s="63">
        <f>SUMIFS(D3:D10,B3:B10,"제과제빵",C3:C10,"카드")</f>
        <v>3490000</v>
      </c>
      <c r="F11" s="181" t="s">
        <v>1047</v>
      </c>
      <c r="G11" s="155" t="s">
        <v>757</v>
      </c>
      <c r="H11" s="150">
        <v>249000</v>
      </c>
      <c r="I11" s="155" t="s">
        <v>747</v>
      </c>
      <c r="J11" s="90">
        <f t="shared" si="0"/>
        <v>45649</v>
      </c>
    </row>
    <row r="13" spans="1:10">
      <c r="A13" s="58" t="s">
        <v>939</v>
      </c>
      <c r="B13" s="85" t="s">
        <v>952</v>
      </c>
      <c r="F13" s="176" t="s">
        <v>31</v>
      </c>
      <c r="G13" s="85" t="s">
        <v>950</v>
      </c>
    </row>
    <row r="14" spans="1:10">
      <c r="A14" s="34" t="s">
        <v>953</v>
      </c>
      <c r="B14" s="34" t="s">
        <v>844</v>
      </c>
      <c r="C14" s="34" t="s">
        <v>871</v>
      </c>
      <c r="D14" s="89" t="s">
        <v>872</v>
      </c>
      <c r="F14" s="212" t="s">
        <v>951</v>
      </c>
      <c r="G14" s="213" t="s">
        <v>863</v>
      </c>
      <c r="H14" s="191"/>
      <c r="I14" s="214"/>
      <c r="J14" s="215" t="s">
        <v>759</v>
      </c>
    </row>
    <row r="15" spans="1:10">
      <c r="A15" s="34" t="s">
        <v>873</v>
      </c>
      <c r="B15" s="34" t="s">
        <v>874</v>
      </c>
      <c r="C15" s="88">
        <v>121</v>
      </c>
      <c r="D15" s="80">
        <f>SUMIF(B15:B24,"통조림",C15:C24)/SUM(C15:C24)</f>
        <v>0.42171189979123175</v>
      </c>
      <c r="F15" s="212"/>
      <c r="G15" s="182" t="s">
        <v>862</v>
      </c>
      <c r="H15" s="155" t="s">
        <v>1043</v>
      </c>
      <c r="I15" s="159" t="s">
        <v>1044</v>
      </c>
      <c r="J15" s="215"/>
    </row>
    <row r="16" spans="1:10">
      <c r="A16" s="34" t="s">
        <v>878</v>
      </c>
      <c r="B16" s="34" t="s">
        <v>879</v>
      </c>
      <c r="C16" s="88">
        <v>88</v>
      </c>
      <c r="D16" s="87"/>
      <c r="F16" s="158" t="s">
        <v>864</v>
      </c>
      <c r="G16" s="33">
        <v>186</v>
      </c>
      <c r="H16" s="33">
        <v>198</v>
      </c>
      <c r="I16" s="33">
        <v>193</v>
      </c>
      <c r="J16" s="120" t="str">
        <f>IF(_xlfn.STDEV.S(G16:I16)&gt;_xlfn.STDEV.S($G$16:$I$22),"편차큼","")</f>
        <v>편차큼</v>
      </c>
    </row>
    <row r="17" spans="1:10">
      <c r="A17" s="34" t="s">
        <v>875</v>
      </c>
      <c r="B17" s="34" t="s">
        <v>885</v>
      </c>
      <c r="C17" s="88">
        <v>104</v>
      </c>
      <c r="D17" s="87"/>
      <c r="F17" s="158" t="s">
        <v>865</v>
      </c>
      <c r="G17" s="33">
        <v>184</v>
      </c>
      <c r="H17" s="33">
        <v>187</v>
      </c>
      <c r="I17" s="33">
        <v>192</v>
      </c>
      <c r="J17" s="120" t="str">
        <f t="shared" ref="J17:J22" si="1">IF(_xlfn.STDEV.S(G17:I17)&gt;_xlfn.STDEV.S($G$16:$I$22),"편차큼","")</f>
        <v/>
      </c>
    </row>
    <row r="18" spans="1:10">
      <c r="A18" s="34" t="s">
        <v>876</v>
      </c>
      <c r="B18" s="34" t="s">
        <v>874</v>
      </c>
      <c r="C18" s="88">
        <v>82</v>
      </c>
      <c r="D18" s="87"/>
      <c r="F18" s="158" t="s">
        <v>866</v>
      </c>
      <c r="G18" s="33">
        <v>188</v>
      </c>
      <c r="H18" s="33">
        <v>187</v>
      </c>
      <c r="I18" s="33">
        <v>197</v>
      </c>
      <c r="J18" s="120" t="str">
        <f t="shared" si="1"/>
        <v>편차큼</v>
      </c>
    </row>
    <row r="19" spans="1:10">
      <c r="A19" s="34" t="s">
        <v>887</v>
      </c>
      <c r="B19" s="34" t="s">
        <v>886</v>
      </c>
      <c r="C19" s="88">
        <v>79</v>
      </c>
      <c r="D19" s="87"/>
      <c r="F19" s="158" t="s">
        <v>867</v>
      </c>
      <c r="G19" s="33">
        <v>187</v>
      </c>
      <c r="H19" s="33">
        <v>188</v>
      </c>
      <c r="I19" s="33">
        <v>193</v>
      </c>
      <c r="J19" s="120" t="str">
        <f t="shared" si="1"/>
        <v/>
      </c>
    </row>
    <row r="20" spans="1:10">
      <c r="A20" s="34" t="s">
        <v>877</v>
      </c>
      <c r="B20" s="34" t="s">
        <v>883</v>
      </c>
      <c r="C20" s="88">
        <v>93</v>
      </c>
      <c r="D20" s="87"/>
      <c r="F20" s="158" t="s">
        <v>868</v>
      </c>
      <c r="G20" s="33">
        <v>191</v>
      </c>
      <c r="H20" s="33">
        <v>190</v>
      </c>
      <c r="I20" s="33">
        <v>194</v>
      </c>
      <c r="J20" s="120" t="str">
        <f t="shared" si="1"/>
        <v/>
      </c>
    </row>
    <row r="21" spans="1:10">
      <c r="A21" s="34" t="s">
        <v>880</v>
      </c>
      <c r="B21" s="34" t="s">
        <v>874</v>
      </c>
      <c r="C21" s="88">
        <v>113</v>
      </c>
      <c r="D21" s="87"/>
      <c r="F21" s="158" t="s">
        <v>869</v>
      </c>
      <c r="G21" s="33">
        <v>190</v>
      </c>
      <c r="H21" s="33">
        <v>191</v>
      </c>
      <c r="I21" s="33">
        <v>193</v>
      </c>
      <c r="J21" s="120" t="str">
        <f t="shared" si="1"/>
        <v/>
      </c>
    </row>
    <row r="22" spans="1:10">
      <c r="A22" s="34" t="s">
        <v>882</v>
      </c>
      <c r="B22" s="34" t="s">
        <v>881</v>
      </c>
      <c r="C22" s="88">
        <v>90</v>
      </c>
      <c r="D22" s="87"/>
      <c r="F22" s="158" t="s">
        <v>870</v>
      </c>
      <c r="G22" s="33">
        <v>186</v>
      </c>
      <c r="H22" s="33">
        <v>188</v>
      </c>
      <c r="I22" s="33">
        <v>205</v>
      </c>
      <c r="J22" s="120" t="str">
        <f t="shared" si="1"/>
        <v>편차큼</v>
      </c>
    </row>
    <row r="23" spans="1:10">
      <c r="A23" s="34" t="s">
        <v>884</v>
      </c>
      <c r="B23" s="34" t="s">
        <v>883</v>
      </c>
      <c r="C23" s="88">
        <v>103</v>
      </c>
      <c r="D23" s="87"/>
    </row>
    <row r="24" spans="1:10">
      <c r="A24" s="34" t="s">
        <v>888</v>
      </c>
      <c r="B24" s="34" t="s">
        <v>886</v>
      </c>
      <c r="C24" s="88">
        <v>85</v>
      </c>
      <c r="D24" s="87"/>
    </row>
    <row r="26" spans="1:10">
      <c r="A26" s="58" t="s">
        <v>955</v>
      </c>
      <c r="B26" s="167" t="s">
        <v>954</v>
      </c>
      <c r="C26" s="114"/>
    </row>
    <row r="27" spans="1:10">
      <c r="A27" s="158" t="s">
        <v>779</v>
      </c>
      <c r="B27" s="191" t="s">
        <v>780</v>
      </c>
      <c r="C27" s="191"/>
      <c r="D27" s="90" t="s">
        <v>781</v>
      </c>
      <c r="E27" s="115" t="s">
        <v>782</v>
      </c>
    </row>
    <row r="28" spans="1:10">
      <c r="A28" s="90">
        <v>44355</v>
      </c>
      <c r="B28" s="211" t="s">
        <v>783</v>
      </c>
      <c r="C28" s="211"/>
      <c r="D28" s="33">
        <v>15800</v>
      </c>
      <c r="E28" s="33">
        <f t="shared" ref="E28:E37" si="2">D28*(1-HLOOKUP(YEAR(A28),$B$40:$E$42,3,TRUE))</f>
        <v>14220</v>
      </c>
    </row>
    <row r="29" spans="1:10">
      <c r="A29" s="90">
        <v>44020</v>
      </c>
      <c r="B29" s="211" t="s">
        <v>784</v>
      </c>
      <c r="C29" s="211"/>
      <c r="D29" s="33">
        <v>13800</v>
      </c>
      <c r="E29" s="33">
        <f t="shared" si="2"/>
        <v>12420</v>
      </c>
    </row>
    <row r="30" spans="1:10">
      <c r="A30" s="90">
        <v>43742</v>
      </c>
      <c r="B30" s="211" t="s">
        <v>785</v>
      </c>
      <c r="C30" s="211"/>
      <c r="D30" s="33">
        <v>13500</v>
      </c>
      <c r="E30" s="33">
        <f t="shared" si="2"/>
        <v>12015</v>
      </c>
    </row>
    <row r="31" spans="1:10">
      <c r="A31" s="90">
        <v>41960</v>
      </c>
      <c r="B31" s="211" t="s">
        <v>786</v>
      </c>
      <c r="C31" s="211"/>
      <c r="D31" s="33">
        <v>14900</v>
      </c>
      <c r="E31" s="33">
        <f t="shared" si="2"/>
        <v>12963</v>
      </c>
    </row>
    <row r="32" spans="1:10">
      <c r="A32" s="90">
        <v>42422</v>
      </c>
      <c r="B32" s="211" t="s">
        <v>787</v>
      </c>
      <c r="C32" s="211"/>
      <c r="D32" s="33">
        <v>12000</v>
      </c>
      <c r="E32" s="33">
        <f t="shared" si="2"/>
        <v>10560</v>
      </c>
    </row>
    <row r="33" spans="1:5">
      <c r="A33" s="116">
        <v>44314</v>
      </c>
      <c r="B33" s="211" t="s">
        <v>788</v>
      </c>
      <c r="C33" s="211"/>
      <c r="D33" s="33">
        <v>18000</v>
      </c>
      <c r="E33" s="33">
        <f t="shared" si="2"/>
        <v>16200</v>
      </c>
    </row>
    <row r="34" spans="1:5">
      <c r="A34" s="116">
        <v>44314</v>
      </c>
      <c r="B34" s="211" t="s">
        <v>789</v>
      </c>
      <c r="C34" s="211"/>
      <c r="D34" s="33">
        <v>15800</v>
      </c>
      <c r="E34" s="33">
        <f t="shared" si="2"/>
        <v>14220</v>
      </c>
    </row>
    <row r="35" spans="1:5">
      <c r="A35" s="116">
        <v>44012</v>
      </c>
      <c r="B35" s="211" t="s">
        <v>790</v>
      </c>
      <c r="C35" s="211"/>
      <c r="D35" s="33">
        <v>14000</v>
      </c>
      <c r="E35" s="33">
        <f t="shared" si="2"/>
        <v>12600</v>
      </c>
    </row>
    <row r="36" spans="1:5">
      <c r="A36" s="116">
        <v>42332</v>
      </c>
      <c r="B36" s="211" t="s">
        <v>791</v>
      </c>
      <c r="C36" s="211"/>
      <c r="D36" s="33">
        <v>22000</v>
      </c>
      <c r="E36" s="33">
        <f t="shared" si="2"/>
        <v>19360</v>
      </c>
    </row>
    <row r="37" spans="1:5">
      <c r="A37" s="116">
        <v>43393</v>
      </c>
      <c r="B37" s="211" t="s">
        <v>792</v>
      </c>
      <c r="C37" s="211"/>
      <c r="D37" s="33">
        <v>20000</v>
      </c>
      <c r="E37" s="33">
        <f t="shared" si="2"/>
        <v>17800</v>
      </c>
    </row>
    <row r="39" spans="1:5">
      <c r="A39" t="s">
        <v>793</v>
      </c>
    </row>
    <row r="40" spans="1:5">
      <c r="A40" s="210" t="s">
        <v>794</v>
      </c>
      <c r="B40" s="119">
        <v>2013</v>
      </c>
      <c r="C40" s="119">
        <v>2015</v>
      </c>
      <c r="D40" s="119">
        <v>2018</v>
      </c>
      <c r="E40" s="119">
        <v>2020</v>
      </c>
    </row>
    <row r="41" spans="1:5">
      <c r="A41" s="191"/>
      <c r="B41" s="118">
        <v>2015</v>
      </c>
      <c r="C41" s="118">
        <v>2018</v>
      </c>
      <c r="D41" s="118">
        <v>2020</v>
      </c>
      <c r="E41" s="155"/>
    </row>
    <row r="42" spans="1:5" ht="17.100000000000001" customHeight="1">
      <c r="A42" s="155" t="s">
        <v>795</v>
      </c>
      <c r="B42" s="117">
        <v>0.13</v>
      </c>
      <c r="C42" s="117">
        <v>0.12</v>
      </c>
      <c r="D42" s="117">
        <v>0.11</v>
      </c>
      <c r="E42" s="117">
        <v>0.1</v>
      </c>
    </row>
  </sheetData>
  <mergeCells count="16">
    <mergeCell ref="A11:C11"/>
    <mergeCell ref="B28:C28"/>
    <mergeCell ref="B29:C29"/>
    <mergeCell ref="B30:C30"/>
    <mergeCell ref="B31:C31"/>
    <mergeCell ref="F14:F15"/>
    <mergeCell ref="G14:I14"/>
    <mergeCell ref="J14:J15"/>
    <mergeCell ref="B27:C27"/>
    <mergeCell ref="B32:C32"/>
    <mergeCell ref="A40:A41"/>
    <mergeCell ref="B33:C33"/>
    <mergeCell ref="B34:C34"/>
    <mergeCell ref="B35:C35"/>
    <mergeCell ref="B36:C36"/>
    <mergeCell ref="B37:C37"/>
  </mergeCells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M35"/>
  <sheetViews>
    <sheetView workbookViewId="0"/>
  </sheetViews>
  <sheetFormatPr defaultRowHeight="16.5"/>
  <cols>
    <col min="1" max="1" width="9.5" bestFit="1" customWidth="1"/>
    <col min="2" max="2" width="14.875" customWidth="1"/>
    <col min="3" max="3" width="13.125" bestFit="1" customWidth="1"/>
    <col min="4" max="4" width="16.25" bestFit="1" customWidth="1"/>
    <col min="6" max="6" width="1.625" customWidth="1"/>
    <col min="8" max="8" width="10.625" bestFit="1" customWidth="1"/>
    <col min="10" max="10" width="9.875" customWidth="1"/>
  </cols>
  <sheetData>
    <row r="1" spans="1:13">
      <c r="A1" s="176" t="s">
        <v>308</v>
      </c>
      <c r="B1" s="59" t="s">
        <v>956</v>
      </c>
      <c r="G1" s="176" t="s">
        <v>528</v>
      </c>
      <c r="H1" s="59" t="s">
        <v>957</v>
      </c>
    </row>
    <row r="2" spans="1:13">
      <c r="A2" s="178" t="s">
        <v>958</v>
      </c>
      <c r="B2" s="178" t="s">
        <v>959</v>
      </c>
      <c r="C2" s="178" t="s">
        <v>71</v>
      </c>
      <c r="D2" s="178" t="s">
        <v>72</v>
      </c>
      <c r="E2" s="180" t="s">
        <v>64</v>
      </c>
      <c r="G2" s="178" t="s">
        <v>108</v>
      </c>
      <c r="H2" s="178" t="s">
        <v>55</v>
      </c>
      <c r="I2" s="178" t="s">
        <v>960</v>
      </c>
      <c r="J2" s="178" t="s">
        <v>961</v>
      </c>
      <c r="K2" s="178" t="s">
        <v>962</v>
      </c>
      <c r="L2" s="178" t="s">
        <v>963</v>
      </c>
    </row>
    <row r="3" spans="1:13">
      <c r="A3" s="178" t="s">
        <v>964</v>
      </c>
      <c r="B3" s="178">
        <v>0</v>
      </c>
      <c r="C3" s="178">
        <v>1</v>
      </c>
      <c r="D3" s="178">
        <v>1</v>
      </c>
      <c r="E3" s="178" t="str">
        <f>IF(COUNTIF(B3:D3,"&gt;=1")=3,"주의","")</f>
        <v/>
      </c>
      <c r="G3" s="178" t="s">
        <v>965</v>
      </c>
      <c r="H3" s="178" t="s">
        <v>554</v>
      </c>
      <c r="I3" s="178">
        <v>85</v>
      </c>
      <c r="J3" s="178">
        <v>90</v>
      </c>
      <c r="K3" s="178">
        <v>88</v>
      </c>
      <c r="L3" s="97">
        <f t="shared" ref="L3:L11" si="0">AVERAGE(I3:K3)</f>
        <v>87.666666666666671</v>
      </c>
    </row>
    <row r="4" spans="1:13">
      <c r="A4" s="178" t="s">
        <v>966</v>
      </c>
      <c r="B4" s="178">
        <v>0</v>
      </c>
      <c r="C4" s="178">
        <v>2</v>
      </c>
      <c r="D4" s="178">
        <v>0</v>
      </c>
      <c r="E4" s="178" t="str">
        <f t="shared" ref="E4:E12" si="1">IF(COUNTIF(B4:D4,"&gt;=1")=3,"주의","")</f>
        <v/>
      </c>
      <c r="G4" s="178" t="s">
        <v>967</v>
      </c>
      <c r="H4" s="178" t="s">
        <v>541</v>
      </c>
      <c r="I4" s="178">
        <v>94</v>
      </c>
      <c r="J4" s="178">
        <v>88</v>
      </c>
      <c r="K4" s="178">
        <v>92</v>
      </c>
      <c r="L4" s="97">
        <f t="shared" si="0"/>
        <v>91.333333333333329</v>
      </c>
    </row>
    <row r="5" spans="1:13">
      <c r="A5" s="178" t="s">
        <v>968</v>
      </c>
      <c r="B5" s="178">
        <v>1</v>
      </c>
      <c r="C5" s="178">
        <v>2</v>
      </c>
      <c r="D5" s="178">
        <v>1</v>
      </c>
      <c r="E5" s="178" t="str">
        <f t="shared" si="1"/>
        <v>주의</v>
      </c>
      <c r="G5" s="178" t="s">
        <v>969</v>
      </c>
      <c r="H5" s="178" t="s">
        <v>541</v>
      </c>
      <c r="I5" s="178">
        <v>80</v>
      </c>
      <c r="J5" s="178">
        <v>78</v>
      </c>
      <c r="K5" s="178">
        <v>92</v>
      </c>
      <c r="L5" s="97">
        <f t="shared" si="0"/>
        <v>83.333333333333329</v>
      </c>
    </row>
    <row r="6" spans="1:13">
      <c r="A6" s="178" t="s">
        <v>970</v>
      </c>
      <c r="B6" s="178">
        <v>0</v>
      </c>
      <c r="C6" s="178">
        <v>2</v>
      </c>
      <c r="D6" s="178">
        <v>1</v>
      </c>
      <c r="E6" s="178" t="str">
        <f t="shared" si="1"/>
        <v/>
      </c>
      <c r="G6" s="178" t="s">
        <v>971</v>
      </c>
      <c r="H6" s="178" t="s">
        <v>972</v>
      </c>
      <c r="I6" s="178">
        <v>90</v>
      </c>
      <c r="J6" s="178">
        <v>92</v>
      </c>
      <c r="K6" s="178">
        <v>85</v>
      </c>
      <c r="L6" s="97">
        <f t="shared" si="0"/>
        <v>89</v>
      </c>
    </row>
    <row r="7" spans="1:13">
      <c r="A7" s="178" t="s">
        <v>973</v>
      </c>
      <c r="B7" s="178">
        <v>0</v>
      </c>
      <c r="C7" s="178">
        <v>0</v>
      </c>
      <c r="D7" s="178">
        <v>1</v>
      </c>
      <c r="E7" s="178" t="str">
        <f t="shared" si="1"/>
        <v/>
      </c>
      <c r="G7" s="178" t="s">
        <v>974</v>
      </c>
      <c r="H7" s="178" t="s">
        <v>975</v>
      </c>
      <c r="I7" s="178">
        <v>96</v>
      </c>
      <c r="J7" s="178">
        <v>89</v>
      </c>
      <c r="K7" s="178">
        <v>91</v>
      </c>
      <c r="L7" s="97">
        <f t="shared" si="0"/>
        <v>92</v>
      </c>
    </row>
    <row r="8" spans="1:13">
      <c r="A8" s="178" t="s">
        <v>976</v>
      </c>
      <c r="B8" s="178">
        <v>2</v>
      </c>
      <c r="C8" s="178">
        <v>1</v>
      </c>
      <c r="D8" s="178">
        <v>1</v>
      </c>
      <c r="E8" s="178" t="str">
        <f t="shared" si="1"/>
        <v>주의</v>
      </c>
      <c r="G8" s="178" t="s">
        <v>977</v>
      </c>
      <c r="H8" s="178" t="s">
        <v>972</v>
      </c>
      <c r="I8" s="178">
        <v>75</v>
      </c>
      <c r="J8" s="178">
        <v>96</v>
      </c>
      <c r="K8" s="178">
        <v>85</v>
      </c>
      <c r="L8" s="97">
        <f t="shared" si="0"/>
        <v>85.333333333333329</v>
      </c>
    </row>
    <row r="9" spans="1:13">
      <c r="A9" s="178" t="s">
        <v>978</v>
      </c>
      <c r="B9" s="178">
        <v>1</v>
      </c>
      <c r="C9" s="178">
        <v>2</v>
      </c>
      <c r="D9" s="178">
        <v>0</v>
      </c>
      <c r="E9" s="178" t="str">
        <f t="shared" si="1"/>
        <v/>
      </c>
      <c r="G9" s="178" t="s">
        <v>979</v>
      </c>
      <c r="H9" s="178" t="s">
        <v>972</v>
      </c>
      <c r="I9" s="178">
        <v>80</v>
      </c>
      <c r="J9" s="178">
        <v>87</v>
      </c>
      <c r="K9" s="178">
        <v>75</v>
      </c>
      <c r="L9" s="97">
        <f t="shared" si="0"/>
        <v>80.666666666666671</v>
      </c>
    </row>
    <row r="10" spans="1:13">
      <c r="A10" s="178" t="s">
        <v>980</v>
      </c>
      <c r="B10" s="178">
        <v>0</v>
      </c>
      <c r="C10" s="178">
        <v>1</v>
      </c>
      <c r="D10" s="178">
        <v>2</v>
      </c>
      <c r="E10" s="178" t="str">
        <f t="shared" si="1"/>
        <v/>
      </c>
      <c r="G10" s="178" t="s">
        <v>981</v>
      </c>
      <c r="H10" s="178" t="s">
        <v>975</v>
      </c>
      <c r="I10" s="178">
        <v>90</v>
      </c>
      <c r="J10" s="178">
        <v>93</v>
      </c>
      <c r="K10" s="178">
        <v>87</v>
      </c>
      <c r="L10" s="97">
        <f t="shared" si="0"/>
        <v>90</v>
      </c>
    </row>
    <row r="11" spans="1:13">
      <c r="A11" s="178" t="s">
        <v>982</v>
      </c>
      <c r="B11" s="178">
        <v>1</v>
      </c>
      <c r="C11" s="178">
        <v>1</v>
      </c>
      <c r="D11" s="178">
        <v>2</v>
      </c>
      <c r="E11" s="178" t="str">
        <f t="shared" si="1"/>
        <v>주의</v>
      </c>
      <c r="G11" s="178" t="s">
        <v>983</v>
      </c>
      <c r="H11" s="178" t="s">
        <v>972</v>
      </c>
      <c r="I11" s="178">
        <v>87</v>
      </c>
      <c r="J11" s="178">
        <v>78</v>
      </c>
      <c r="K11" s="178">
        <v>92</v>
      </c>
      <c r="L11" s="97">
        <f t="shared" si="0"/>
        <v>85.666666666666671</v>
      </c>
    </row>
    <row r="12" spans="1:13">
      <c r="A12" s="178" t="s">
        <v>984</v>
      </c>
      <c r="B12" s="178">
        <v>0</v>
      </c>
      <c r="C12" s="178">
        <v>2</v>
      </c>
      <c r="D12" s="178">
        <v>1</v>
      </c>
      <c r="E12" s="178" t="str">
        <f t="shared" si="1"/>
        <v/>
      </c>
      <c r="G12" s="219" t="s">
        <v>1039</v>
      </c>
      <c r="H12" s="220"/>
      <c r="I12" s="220"/>
      <c r="J12" s="220"/>
      <c r="K12" s="221"/>
      <c r="L12" s="178">
        <f>ROUNDUP(DMAX(G2:L11,6,H2:H3)-DMIN(G2:L11,6,H2:H3),1)</f>
        <v>4.3999999999999995</v>
      </c>
    </row>
    <row r="15" spans="1:13">
      <c r="A15" s="176" t="s">
        <v>985</v>
      </c>
      <c r="B15" s="59" t="s">
        <v>986</v>
      </c>
      <c r="C15" s="81"/>
      <c r="D15" s="81"/>
      <c r="G15" s="176" t="s">
        <v>987</v>
      </c>
      <c r="H15" s="59" t="s">
        <v>988</v>
      </c>
      <c r="I15" s="140"/>
      <c r="J15" s="140" t="s">
        <v>989</v>
      </c>
    </row>
    <row r="16" spans="1:13">
      <c r="A16" s="179" t="s">
        <v>1040</v>
      </c>
      <c r="B16" s="179" t="s">
        <v>990</v>
      </c>
      <c r="C16" s="179" t="s">
        <v>991</v>
      </c>
      <c r="D16" s="136" t="s">
        <v>992</v>
      </c>
      <c r="G16" s="128" t="s">
        <v>993</v>
      </c>
      <c r="H16" s="128" t="s">
        <v>994</v>
      </c>
      <c r="I16" s="128" t="s">
        <v>56</v>
      </c>
      <c r="J16" s="136" t="s">
        <v>995</v>
      </c>
      <c r="L16" s="222" t="s">
        <v>996</v>
      </c>
      <c r="M16" s="222"/>
    </row>
    <row r="17" spans="1:13">
      <c r="A17" s="46">
        <v>45689</v>
      </c>
      <c r="B17" s="179">
        <v>145</v>
      </c>
      <c r="C17" s="179">
        <v>10</v>
      </c>
      <c r="D17" s="178" t="str">
        <f>IF(SUM($C$17:C17)&gt;=200,"경고",IF(SUM($C$17:C17)&gt;=120,"과다",IF(SUM($C$17:C17)&gt;=50,"보통","")))</f>
        <v/>
      </c>
      <c r="G17" s="141" t="s">
        <v>997</v>
      </c>
      <c r="H17" s="128" t="s">
        <v>998</v>
      </c>
      <c r="I17" s="142">
        <v>100</v>
      </c>
      <c r="J17" s="143">
        <f>VLOOKUP(LEFT(G17,3)&amp;"-"&amp;RIGHT(H17,1),$L$18:$M$20,2,0)*I17</f>
        <v>75000</v>
      </c>
      <c r="L17" s="128" t="s">
        <v>999</v>
      </c>
      <c r="M17" s="128" t="s">
        <v>1000</v>
      </c>
    </row>
    <row r="18" spans="1:13">
      <c r="A18" s="46">
        <v>45690</v>
      </c>
      <c r="B18" s="179">
        <v>160</v>
      </c>
      <c r="C18" s="179">
        <v>25</v>
      </c>
      <c r="D18" s="178" t="str">
        <f>IF(SUM($C$17:C18)&gt;=200,"경고",IF(SUM($C$17:C18)&gt;=120,"과다",IF(SUM($C$17:C18)&gt;=50,"보통","")))</f>
        <v/>
      </c>
      <c r="G18" s="48" t="s">
        <v>1001</v>
      </c>
      <c r="H18" s="128" t="s">
        <v>1002</v>
      </c>
      <c r="I18" s="145">
        <v>100</v>
      </c>
      <c r="J18" s="143">
        <f t="shared" ref="J18:J23" si="2">VLOOKUP(LEFT(G18,3)&amp;"-"&amp;RIGHT(H18,1),$L$18:$M$20,2,0)*I18</f>
        <v>80000</v>
      </c>
      <c r="L18" s="178" t="s">
        <v>1003</v>
      </c>
      <c r="M18" s="144">
        <v>750</v>
      </c>
    </row>
    <row r="19" spans="1:13">
      <c r="A19" s="46">
        <v>45691</v>
      </c>
      <c r="B19" s="179">
        <v>150</v>
      </c>
      <c r="C19" s="179">
        <v>25</v>
      </c>
      <c r="D19" s="178" t="str">
        <f>IF(SUM($C$17:C19)&gt;=200,"경고",IF(SUM($C$17:C19)&gt;=120,"과다",IF(SUM($C$17:C19)&gt;=50,"보통","")))</f>
        <v>보통</v>
      </c>
      <c r="G19" s="48" t="s">
        <v>1004</v>
      </c>
      <c r="H19" s="128" t="s">
        <v>1005</v>
      </c>
      <c r="I19" s="145">
        <v>100</v>
      </c>
      <c r="J19" s="143">
        <f t="shared" si="2"/>
        <v>85000</v>
      </c>
      <c r="L19" s="178" t="s">
        <v>1006</v>
      </c>
      <c r="M19" s="144">
        <v>800</v>
      </c>
    </row>
    <row r="20" spans="1:13">
      <c r="A20" s="46">
        <v>45692</v>
      </c>
      <c r="B20" s="179">
        <v>160</v>
      </c>
      <c r="C20" s="179">
        <v>30</v>
      </c>
      <c r="D20" s="178" t="str">
        <f>IF(SUM($C$17:C20)&gt;=200,"경고",IF(SUM($C$17:C20)&gt;=120,"과다",IF(SUM($C$17:C20)&gt;=50,"보통","")))</f>
        <v>보통</v>
      </c>
      <c r="G20" s="141" t="s">
        <v>1007</v>
      </c>
      <c r="H20" s="128" t="s">
        <v>1008</v>
      </c>
      <c r="I20" s="145">
        <v>125</v>
      </c>
      <c r="J20" s="143">
        <f t="shared" si="2"/>
        <v>93750</v>
      </c>
      <c r="K20" s="81"/>
      <c r="L20" s="178" t="s">
        <v>1009</v>
      </c>
      <c r="M20" s="144">
        <v>850</v>
      </c>
    </row>
    <row r="21" spans="1:13">
      <c r="A21" s="46">
        <v>45693</v>
      </c>
      <c r="B21" s="179">
        <v>155</v>
      </c>
      <c r="C21" s="179">
        <v>35</v>
      </c>
      <c r="D21" s="178" t="str">
        <f>IF(SUM($C$17:C21)&gt;=200,"경고",IF(SUM($C$17:C21)&gt;=120,"과다",IF(SUM($C$17:C21)&gt;=50,"보통","")))</f>
        <v>과다</v>
      </c>
      <c r="G21" s="48" t="s">
        <v>1010</v>
      </c>
      <c r="H21" s="128" t="s">
        <v>1005</v>
      </c>
      <c r="I21" s="145">
        <v>110</v>
      </c>
      <c r="J21" s="143">
        <f t="shared" si="2"/>
        <v>93500</v>
      </c>
      <c r="K21" s="81"/>
      <c r="L21" s="81"/>
    </row>
    <row r="22" spans="1:13">
      <c r="A22" s="46">
        <v>45694</v>
      </c>
      <c r="B22" s="179">
        <v>170</v>
      </c>
      <c r="C22" s="179">
        <v>40</v>
      </c>
      <c r="D22" s="178" t="str">
        <f>IF(SUM($C$17:C22)&gt;=200,"경고",IF(SUM($C$17:C22)&gt;=120,"과다",IF(SUM($C$17:C22)&gt;=50,"보통","")))</f>
        <v>과다</v>
      </c>
      <c r="G22" s="48" t="s">
        <v>1011</v>
      </c>
      <c r="H22" s="128" t="s">
        <v>1002</v>
      </c>
      <c r="I22" s="146">
        <v>125</v>
      </c>
      <c r="J22" s="143">
        <f t="shared" si="2"/>
        <v>100000</v>
      </c>
      <c r="K22" s="81"/>
      <c r="L22" s="81"/>
    </row>
    <row r="23" spans="1:13">
      <c r="A23" s="46">
        <v>45695</v>
      </c>
      <c r="B23" s="179">
        <v>165</v>
      </c>
      <c r="C23" s="179">
        <v>45</v>
      </c>
      <c r="D23" s="178" t="str">
        <f>IF(SUM($C$17:C23)&gt;=200,"경고",IF(SUM($C$17:C23)&gt;=120,"과다",IF(SUM($C$17:C23)&gt;=50,"보통","")))</f>
        <v>경고</v>
      </c>
      <c r="G23" s="141" t="s">
        <v>1012</v>
      </c>
      <c r="H23" s="128" t="s">
        <v>1008</v>
      </c>
      <c r="I23" s="83">
        <v>105</v>
      </c>
      <c r="J23" s="143">
        <f t="shared" si="2"/>
        <v>78750</v>
      </c>
      <c r="K23" s="81"/>
      <c r="L23" s="81"/>
    </row>
    <row r="24" spans="1:13">
      <c r="J24" s="81"/>
      <c r="K24" s="81"/>
      <c r="L24" s="81"/>
    </row>
    <row r="25" spans="1:13">
      <c r="A25" s="176" t="s">
        <v>1013</v>
      </c>
      <c r="B25" s="59" t="s">
        <v>1014</v>
      </c>
      <c r="J25" s="81"/>
      <c r="K25" s="81"/>
      <c r="L25" s="81"/>
    </row>
    <row r="26" spans="1:13">
      <c r="A26" s="178" t="s">
        <v>1015</v>
      </c>
      <c r="B26" s="178" t="s">
        <v>1016</v>
      </c>
      <c r="C26" s="178" t="s">
        <v>1017</v>
      </c>
      <c r="D26" s="178" t="s">
        <v>1018</v>
      </c>
      <c r="E26" s="180" t="s">
        <v>1019</v>
      </c>
      <c r="G26" s="111" t="s">
        <v>1020</v>
      </c>
    </row>
    <row r="27" spans="1:13">
      <c r="A27" s="178" t="s">
        <v>1021</v>
      </c>
      <c r="B27" s="178">
        <v>90</v>
      </c>
      <c r="C27" s="178" t="s">
        <v>1022</v>
      </c>
      <c r="D27" s="178" t="s">
        <v>1023</v>
      </c>
      <c r="E27" s="112">
        <f>B27*(1+HLOOKUP(C27,$H$27:$K$28,2,FALSE))+MID(D27,5,2)</f>
        <v>114.00000000000001</v>
      </c>
      <c r="G27" s="178" t="s">
        <v>1017</v>
      </c>
      <c r="H27" s="178" t="s">
        <v>1022</v>
      </c>
      <c r="I27" s="178" t="s">
        <v>1024</v>
      </c>
      <c r="J27" s="178" t="s">
        <v>1025</v>
      </c>
      <c r="K27" s="178" t="s">
        <v>1026</v>
      </c>
    </row>
    <row r="28" spans="1:13">
      <c r="A28" s="178" t="s">
        <v>1027</v>
      </c>
      <c r="B28" s="178">
        <v>89</v>
      </c>
      <c r="C28" s="178" t="s">
        <v>1024</v>
      </c>
      <c r="D28" s="178" t="s">
        <v>1028</v>
      </c>
      <c r="E28" s="112">
        <f t="shared" ref="E28:E35" si="3">B28*(1+HLOOKUP(C28,$H$27:$K$28,2,FALSE))+MID(D28,5,2)</f>
        <v>106.12</v>
      </c>
      <c r="G28" s="178" t="s">
        <v>1029</v>
      </c>
      <c r="H28" s="110">
        <v>0.1</v>
      </c>
      <c r="I28" s="110">
        <v>0.08</v>
      </c>
      <c r="J28" s="110">
        <v>0.05</v>
      </c>
      <c r="K28" s="110">
        <v>0.02</v>
      </c>
    </row>
    <row r="29" spans="1:13">
      <c r="A29" s="178" t="s">
        <v>1030</v>
      </c>
      <c r="B29" s="178">
        <v>78</v>
      </c>
      <c r="C29" s="178" t="s">
        <v>1025</v>
      </c>
      <c r="D29" s="178" t="s">
        <v>1031</v>
      </c>
      <c r="E29" s="112">
        <f t="shared" si="3"/>
        <v>101.9</v>
      </c>
    </row>
    <row r="30" spans="1:13">
      <c r="A30" s="178" t="s">
        <v>1032</v>
      </c>
      <c r="B30" s="178">
        <v>92</v>
      </c>
      <c r="C30" s="178" t="s">
        <v>1022</v>
      </c>
      <c r="D30" s="178" t="s">
        <v>1023</v>
      </c>
      <c r="E30" s="112">
        <f t="shared" si="3"/>
        <v>116.2</v>
      </c>
    </row>
    <row r="31" spans="1:13">
      <c r="A31" s="178" t="s">
        <v>1033</v>
      </c>
      <c r="B31" s="178">
        <v>89</v>
      </c>
      <c r="C31" s="178" t="s">
        <v>1025</v>
      </c>
      <c r="D31" s="178" t="s">
        <v>1031</v>
      </c>
      <c r="E31" s="112">
        <f t="shared" si="3"/>
        <v>113.45</v>
      </c>
    </row>
    <row r="32" spans="1:13">
      <c r="A32" s="178" t="s">
        <v>1034</v>
      </c>
      <c r="B32" s="178">
        <v>92</v>
      </c>
      <c r="C32" s="178" t="s">
        <v>1035</v>
      </c>
      <c r="D32" s="178" t="s">
        <v>1028</v>
      </c>
      <c r="E32" s="112">
        <f t="shared" si="3"/>
        <v>109.36000000000001</v>
      </c>
    </row>
    <row r="33" spans="1:5">
      <c r="A33" s="178" t="s">
        <v>1036</v>
      </c>
      <c r="B33" s="178">
        <v>88</v>
      </c>
      <c r="C33" s="178" t="s">
        <v>1025</v>
      </c>
      <c r="D33" s="178" t="s">
        <v>1031</v>
      </c>
      <c r="E33" s="112">
        <f t="shared" si="3"/>
        <v>112.4</v>
      </c>
    </row>
    <row r="34" spans="1:5">
      <c r="A34" s="178" t="s">
        <v>1037</v>
      </c>
      <c r="B34" s="178">
        <v>94</v>
      </c>
      <c r="C34" s="178" t="s">
        <v>1022</v>
      </c>
      <c r="D34" s="178" t="s">
        <v>1028</v>
      </c>
      <c r="E34" s="112">
        <f t="shared" si="3"/>
        <v>113.4</v>
      </c>
    </row>
    <row r="35" spans="1:5">
      <c r="A35" s="178" t="s">
        <v>1038</v>
      </c>
      <c r="B35" s="178">
        <v>87</v>
      </c>
      <c r="C35" s="178" t="s">
        <v>1026</v>
      </c>
      <c r="D35" s="178" t="s">
        <v>1023</v>
      </c>
      <c r="E35" s="112">
        <f t="shared" si="3"/>
        <v>103.74</v>
      </c>
    </row>
  </sheetData>
  <mergeCells count="2">
    <mergeCell ref="G12:K12"/>
    <mergeCell ref="L16:M16"/>
  </mergeCells>
  <phoneticPr fontId="4" type="noConversion"/>
  <pageMargins left="0.7" right="0.7" top="0.75" bottom="0.75" header="0.3" footer="0.3"/>
  <ignoredErrors>
    <ignoredError sqref="D18:D23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계산작업1</vt:lpstr>
      <vt:lpstr>계산작업2</vt:lpstr>
      <vt:lpstr>계산작업3</vt:lpstr>
      <vt:lpstr>계산작업4</vt:lpstr>
      <vt:lpstr>계산작업5</vt:lpstr>
      <vt:lpstr>계산작업6</vt:lpstr>
      <vt:lpstr>계산작업7</vt:lpstr>
      <vt:lpstr>계산작업8</vt:lpstr>
      <vt:lpstr>계산작업9</vt:lpstr>
      <vt:lpstr>계산작업10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2021-09-02T06:17:29Z</dcterms:created>
  <dcterms:modified xsi:type="dcterms:W3CDTF">2024-07-23T11:03:52Z</dcterms:modified>
</cp:coreProperties>
</file>