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2급\2024컴활2급\상시시험문제\정답\"/>
    </mc:Choice>
  </mc:AlternateContent>
  <xr:revisionPtr revIDLastSave="0" documentId="13_ncr:1_{2BB2C3B8-DB89-4E81-9F2F-4B6B65B4A64B}" xr6:coauthVersionLast="47" xr6:coauthVersionMax="47" xr10:uidLastSave="{00000000-0000-0000-0000-000000000000}"/>
  <bookViews>
    <workbookView xWindow="410" yWindow="2360" windowWidth="24970" windowHeight="18500" tabRatio="902" xr2:uid="{00000000-000D-0000-FFFF-FFFF00000000}"/>
  </bookViews>
  <sheets>
    <sheet name="기본작업-1" sheetId="1" r:id="rId1"/>
    <sheet name="기본작업-2" sheetId="3" r:id="rId2"/>
    <sheet name="기본작업-3" sheetId="2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아파트합계">'기본작업-2'!$C$4:$H$4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5" i="5" l="1"/>
  <c r="D35" i="5"/>
  <c r="F25" i="5"/>
  <c r="D25" i="5"/>
  <c r="F20" i="5"/>
  <c r="D20" i="5"/>
  <c r="F10" i="5"/>
  <c r="F37" i="5" s="1"/>
  <c r="D10" i="5"/>
  <c r="D37" i="5" s="1"/>
  <c r="G25" i="9"/>
  <c r="D4" i="9"/>
  <c r="D5" i="9"/>
  <c r="D6" i="9"/>
  <c r="D7" i="9"/>
  <c r="D8" i="9"/>
  <c r="D9" i="9"/>
  <c r="D10" i="9"/>
  <c r="D11" i="9"/>
  <c r="D3" i="9"/>
  <c r="I4" i="9" l="1"/>
  <c r="I5" i="9"/>
  <c r="I6" i="9"/>
  <c r="I7" i="9"/>
  <c r="I8" i="9"/>
  <c r="I9" i="9"/>
  <c r="I10" i="9"/>
  <c r="I11" i="9"/>
  <c r="I3" i="9"/>
  <c r="D25" i="9"/>
  <c r="D32" i="9" l="1"/>
  <c r="E5" i="7" l="1"/>
  <c r="E6" i="7"/>
  <c r="E7" i="7"/>
  <c r="E8" i="7"/>
  <c r="E9" i="7"/>
  <c r="E10" i="7"/>
  <c r="E11" i="7"/>
  <c r="E12" i="7"/>
  <c r="E4" i="7"/>
  <c r="G33" i="5" l="1"/>
  <c r="G8" i="5"/>
  <c r="G18" i="5"/>
  <c r="G17" i="5"/>
  <c r="G16" i="5"/>
  <c r="G15" i="5"/>
  <c r="G14" i="5"/>
  <c r="G13" i="5"/>
  <c r="G7" i="5"/>
  <c r="G32" i="5"/>
  <c r="G31" i="5"/>
  <c r="G6" i="5"/>
  <c r="G5" i="5"/>
  <c r="G30" i="5"/>
  <c r="G29" i="5"/>
  <c r="G12" i="5"/>
  <c r="G28" i="5"/>
  <c r="G11" i="5"/>
  <c r="G19" i="5" s="1"/>
  <c r="G27" i="5"/>
  <c r="G4" i="5"/>
  <c r="G26" i="5"/>
  <c r="G23" i="5"/>
  <c r="G22" i="5"/>
  <c r="G21" i="5"/>
  <c r="G24" i="5" s="1"/>
  <c r="G9" i="5" l="1"/>
  <c r="G36" i="5" s="1"/>
  <c r="G34" i="5"/>
</calcChain>
</file>

<file path=xl/sharedStrings.xml><?xml version="1.0" encoding="utf-8"?>
<sst xmlns="http://schemas.openxmlformats.org/spreadsheetml/2006/main" count="383" uniqueCount="289">
  <si>
    <t>팀명</t>
    <phoneticPr fontId="1" type="noConversion"/>
  </si>
  <si>
    <t>KT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</si>
  <si>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</si>
  <si>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</si>
  <si>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</si>
  <si>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승률</t>
    <phoneticPr fontId="1" type="noConversion"/>
  </si>
  <si>
    <t>두산</t>
    <phoneticPr fontId="1" type="noConversion"/>
  </si>
  <si>
    <t>삼성</t>
    <phoneticPr fontId="1" type="noConversion"/>
  </si>
  <si>
    <t>LG</t>
    <phoneticPr fontId="1" type="noConversion"/>
  </si>
  <si>
    <t>키움</t>
    <phoneticPr fontId="1" type="noConversion"/>
  </si>
  <si>
    <t>SSG</t>
    <phoneticPr fontId="1" type="noConversion"/>
  </si>
  <si>
    <t>NC</t>
    <phoneticPr fontId="1" type="noConversion"/>
  </si>
  <si>
    <t>롯데</t>
    <phoneticPr fontId="1" type="noConversion"/>
  </si>
  <si>
    <t>KIA</t>
    <phoneticPr fontId="1" type="noConversion"/>
  </si>
  <si>
    <t>한화</t>
    <phoneticPr fontId="1" type="noConversion"/>
  </si>
  <si>
    <t>콜드 브루 커피</t>
    <phoneticPr fontId="1" type="noConversion"/>
  </si>
  <si>
    <t>브루드 커피</t>
    <phoneticPr fontId="1" type="noConversion"/>
  </si>
  <si>
    <t>에스프레소</t>
    <phoneticPr fontId="1" type="noConversion"/>
  </si>
  <si>
    <t>프라푸치노</t>
    <phoneticPr fontId="1" type="noConversion"/>
  </si>
  <si>
    <t>블렌디드</t>
    <phoneticPr fontId="1" type="noConversion"/>
  </si>
  <si>
    <t>피지오</t>
    <phoneticPr fontId="1" type="noConversion"/>
  </si>
  <si>
    <t>티바나</t>
    <phoneticPr fontId="1" type="noConversion"/>
  </si>
  <si>
    <t>주스(병음료)</t>
    <phoneticPr fontId="1" type="noConversion"/>
  </si>
  <si>
    <t>제주 라떼</t>
    <phoneticPr fontId="1" type="noConversion"/>
  </si>
  <si>
    <t>음료</t>
    <phoneticPr fontId="1" type="noConversion"/>
  </si>
  <si>
    <t>시그니처 초콜릿</t>
    <phoneticPr fontId="1" type="noConversion"/>
  </si>
  <si>
    <t>밀크 티</t>
    <phoneticPr fontId="1" type="noConversion"/>
  </si>
  <si>
    <t>티 라떼</t>
    <phoneticPr fontId="1" type="noConversion"/>
  </si>
  <si>
    <t>상공카페 판매 실적표</t>
    <phoneticPr fontId="1" type="noConversion"/>
  </si>
  <si>
    <t>아파트</t>
    <phoneticPr fontId="1" type="noConversion"/>
  </si>
  <si>
    <t>강남구</t>
    <phoneticPr fontId="1" type="noConversion"/>
  </si>
  <si>
    <t>강동구</t>
    <phoneticPr fontId="1" type="noConversion"/>
  </si>
  <si>
    <t>강북구</t>
    <phoneticPr fontId="1" type="noConversion"/>
  </si>
  <si>
    <t>강서구</t>
    <phoneticPr fontId="1" type="noConversion"/>
  </si>
  <si>
    <t>단독/다가구</t>
    <phoneticPr fontId="1" type="noConversion"/>
  </si>
  <si>
    <t>다세대/연립</t>
    <phoneticPr fontId="1" type="noConversion"/>
  </si>
  <si>
    <t>7월</t>
    <phoneticPr fontId="1" type="noConversion"/>
  </si>
  <si>
    <t>9월</t>
  </si>
  <si>
    <t>10월</t>
  </si>
  <si>
    <t>11월</t>
  </si>
  <si>
    <t>12월</t>
  </si>
  <si>
    <t>8월</t>
    <phoneticPr fontId="1" type="noConversion"/>
  </si>
  <si>
    <t>서울특별시</t>
    <phoneticPr fontId="1" type="noConversion"/>
  </si>
  <si>
    <t>부동산 매매</t>
    <phoneticPr fontId="1" type="noConversion"/>
  </si>
  <si>
    <t>서울특별시 거래 현황</t>
    <phoneticPr fontId="1" type="noConversion"/>
  </si>
  <si>
    <t>납세자</t>
    <phoneticPr fontId="1" type="noConversion"/>
  </si>
  <si>
    <t>자동차세</t>
    <phoneticPr fontId="1" type="noConversion"/>
  </si>
  <si>
    <t>지방교육세</t>
    <phoneticPr fontId="1" type="noConversion"/>
  </si>
  <si>
    <t>합계</t>
    <phoneticPr fontId="1" type="noConversion"/>
  </si>
  <si>
    <t>배기량</t>
    <phoneticPr fontId="1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</si>
  <si>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</si>
  <si>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</si>
  <si>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</si>
  <si>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</si>
  <si>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</si>
  <si>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</si>
  <si>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</si>
  <si>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</si>
  <si>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</si>
  <si>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비영업용 상반기 자동차세</t>
    <phoneticPr fontId="1" type="noConversion"/>
  </si>
  <si>
    <t>재단명</t>
    <phoneticPr fontId="1" type="noConversion"/>
  </si>
  <si>
    <t>삼화저축</t>
    <phoneticPr fontId="1" type="noConversion"/>
  </si>
  <si>
    <t>전일저축</t>
    <phoneticPr fontId="1" type="noConversion"/>
  </si>
  <si>
    <t>으뜸저축</t>
    <phoneticPr fontId="1" type="noConversion"/>
  </si>
  <si>
    <t>대전저축</t>
    <phoneticPr fontId="1" type="noConversion"/>
  </si>
  <si>
    <t>보해저축</t>
    <phoneticPr fontId="1" type="noConversion"/>
  </si>
  <si>
    <t>지원액</t>
    <phoneticPr fontId="1" type="noConversion"/>
  </si>
  <si>
    <t>회수액</t>
    <phoneticPr fontId="1" type="noConversion"/>
  </si>
  <si>
    <t>미회수액</t>
    <phoneticPr fontId="1" type="noConversion"/>
  </si>
  <si>
    <t>프라임저축</t>
    <phoneticPr fontId="1" type="noConversion"/>
  </si>
  <si>
    <t>회수율</t>
    <phoneticPr fontId="1" type="noConversion"/>
  </si>
  <si>
    <t>예금보험공사 지원액</t>
    <phoneticPr fontId="1" type="noConversion"/>
  </si>
  <si>
    <t>사원코드</t>
  </si>
  <si>
    <t>사원명</t>
  </si>
  <si>
    <t>부서</t>
  </si>
  <si>
    <t>기본급</t>
  </si>
  <si>
    <t>근속년수</t>
  </si>
  <si>
    <t>근속수당</t>
  </si>
  <si>
    <t>실수령액</t>
  </si>
  <si>
    <t>G7701003</t>
  </si>
  <si>
    <t>박태석</t>
  </si>
  <si>
    <t>총무부</t>
  </si>
  <si>
    <t>C9832012</t>
  </si>
  <si>
    <t>박민수</t>
  </si>
  <si>
    <t>H9945311</t>
  </si>
  <si>
    <t>이기자</t>
  </si>
  <si>
    <t>G7701001</t>
  </si>
  <si>
    <t>오덕환</t>
  </si>
  <si>
    <t>기획부</t>
  </si>
  <si>
    <t>H9945312</t>
  </si>
  <si>
    <t>김민서</t>
  </si>
  <si>
    <t>홍보부</t>
  </si>
  <si>
    <t>G7701002</t>
  </si>
  <si>
    <t>김복용</t>
  </si>
  <si>
    <t>P9832013</t>
  </si>
  <si>
    <t>강승래</t>
  </si>
  <si>
    <t>판매부</t>
  </si>
  <si>
    <t>G9701006</t>
  </si>
  <si>
    <t>정민영</t>
  </si>
  <si>
    <t>P9832015</t>
  </si>
  <si>
    <t>이다혜</t>
  </si>
  <si>
    <t>G9701004</t>
  </si>
  <si>
    <t>김민자</t>
  </si>
  <si>
    <t>G9832014</t>
  </si>
  <si>
    <t>김영남</t>
  </si>
  <si>
    <t>H9701007</t>
  </si>
  <si>
    <t>홍다현</t>
  </si>
  <si>
    <t>H9701006</t>
  </si>
  <si>
    <t>김현빈</t>
  </si>
  <si>
    <t>G9701005</t>
  </si>
  <si>
    <t>임병호</t>
  </si>
  <si>
    <t>G9832013</t>
  </si>
  <si>
    <t>김광수</t>
  </si>
  <si>
    <t>H9945313</t>
  </si>
  <si>
    <t>이승준</t>
  </si>
  <si>
    <t>P9701003</t>
  </si>
  <si>
    <t>안도연</t>
  </si>
  <si>
    <t>P9701004</t>
  </si>
  <si>
    <t>이승현</t>
  </si>
  <si>
    <t>P9701005</t>
  </si>
  <si>
    <t>김두아</t>
  </si>
  <si>
    <t>P9701006</t>
  </si>
  <si>
    <t>이승주</t>
  </si>
  <si>
    <t>P9701007</t>
  </si>
  <si>
    <t>김정석</t>
  </si>
  <si>
    <t>P9701008</t>
  </si>
  <si>
    <t>임희윤</t>
  </si>
  <si>
    <t>H9701005</t>
  </si>
  <si>
    <t>여해경</t>
  </si>
  <si>
    <t>G9832012</t>
  </si>
  <si>
    <t>김태호</t>
  </si>
  <si>
    <t>부서별 급여 현황</t>
    <phoneticPr fontId="1" type="noConversion"/>
  </si>
  <si>
    <t>사원번호</t>
    <phoneticPr fontId="1" type="noConversion"/>
  </si>
  <si>
    <t>근무지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</si>
  <si>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</si>
  <si>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</si>
  <si>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</si>
  <si>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</si>
  <si>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</si>
  <si>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</si>
  <si>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</si>
  <si>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</si>
  <si>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</si>
  <si>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</si>
  <si>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</si>
  <si>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</si>
  <si>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</si>
  <si>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</si>
  <si>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</si>
  <si>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</si>
  <si>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</si>
  <si>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</si>
  <si>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</si>
  <si>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</si>
  <si>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</si>
  <si>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</si>
  <si>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</si>
  <si>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</si>
  <si>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</si>
  <si>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</si>
  <si>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</si>
  <si>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</si>
  <si>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</si>
  <si>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</si>
  <si>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</si>
  <si>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</si>
  <si>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*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</si>
  <si>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</si>
  <si>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</si>
  <si>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</si>
  <si>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</si>
  <si>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행 레이블</t>
  </si>
  <si>
    <t>열 레이블</t>
  </si>
  <si>
    <t>제주지사</t>
  </si>
  <si>
    <t>합계 : 수당</t>
  </si>
  <si>
    <t>평균 : 기본급</t>
  </si>
  <si>
    <t>근무지별 급여현황</t>
    <phoneticPr fontId="1" type="noConversion"/>
  </si>
  <si>
    <t>홍보부 평균</t>
  </si>
  <si>
    <t>판매부 평균</t>
  </si>
  <si>
    <t>총무부 평균</t>
  </si>
  <si>
    <t>기획부 평균</t>
  </si>
  <si>
    <t>전체 평균</t>
  </si>
  <si>
    <t>전체 최대값</t>
  </si>
  <si>
    <t>[표2]</t>
    <phoneticPr fontId="1" type="noConversion"/>
  </si>
  <si>
    <t>[표5]</t>
    <phoneticPr fontId="1" type="noConversion"/>
  </si>
  <si>
    <t>[표1]</t>
    <phoneticPr fontId="1" type="noConversion"/>
  </si>
  <si>
    <t>선수명</t>
    <phoneticPr fontId="12" type="noConversion"/>
  </si>
  <si>
    <t>소속팀</t>
    <phoneticPr fontId="12" type="noConversion"/>
  </si>
  <si>
    <t>개인점수</t>
    <phoneticPr fontId="12" type="noConversion"/>
  </si>
  <si>
    <t>조현우</t>
    <phoneticPr fontId="12" type="noConversion"/>
  </si>
  <si>
    <t>서울</t>
    <phoneticPr fontId="12" type="noConversion"/>
  </si>
  <si>
    <t>김혁진</t>
    <phoneticPr fontId="12" type="noConversion"/>
  </si>
  <si>
    <t>부산</t>
    <phoneticPr fontId="12" type="noConversion"/>
  </si>
  <si>
    <t>민준수</t>
    <phoneticPr fontId="12" type="noConversion"/>
  </si>
  <si>
    <t>광주</t>
    <phoneticPr fontId="12" type="noConversion"/>
  </si>
  <si>
    <t>성도경</t>
    <phoneticPr fontId="1" type="noConversion"/>
  </si>
  <si>
    <t>곽승호</t>
    <phoneticPr fontId="1" type="noConversion"/>
  </si>
  <si>
    <t>서현국</t>
    <phoneticPr fontId="12" type="noConversion"/>
  </si>
  <si>
    <t>이정현</t>
    <phoneticPr fontId="12" type="noConversion"/>
  </si>
  <si>
    <t>박정호</t>
    <phoneticPr fontId="12" type="noConversion"/>
  </si>
  <si>
    <t>서울</t>
    <phoneticPr fontId="12" type="noConversion"/>
  </si>
  <si>
    <t>공필승</t>
    <phoneticPr fontId="12" type="noConversion"/>
  </si>
  <si>
    <t>부산</t>
    <phoneticPr fontId="12" type="noConversion"/>
  </si>
  <si>
    <t>순위</t>
    <phoneticPr fontId="1" type="noConversion"/>
  </si>
  <si>
    <t>학생명</t>
    <phoneticPr fontId="1" type="noConversion"/>
  </si>
  <si>
    <t>성별</t>
    <phoneticPr fontId="1" type="noConversion"/>
  </si>
  <si>
    <t>학년</t>
    <phoneticPr fontId="1" type="noConversion"/>
  </si>
  <si>
    <t>평균점수</t>
    <phoneticPr fontId="1" type="noConversion"/>
  </si>
  <si>
    <t>정우진</t>
    <phoneticPr fontId="1" type="noConversion"/>
  </si>
  <si>
    <t>남</t>
    <phoneticPr fontId="1" type="noConversion"/>
  </si>
  <si>
    <t>1학년</t>
    <phoneticPr fontId="1" type="noConversion"/>
  </si>
  <si>
    <t>최민혁</t>
    <phoneticPr fontId="1" type="noConversion"/>
  </si>
  <si>
    <t>2학년</t>
    <phoneticPr fontId="1" type="noConversion"/>
  </si>
  <si>
    <t>정여진</t>
    <phoneticPr fontId="1" type="noConversion"/>
  </si>
  <si>
    <t>여</t>
    <phoneticPr fontId="1" type="noConversion"/>
  </si>
  <si>
    <t>3학년</t>
    <phoneticPr fontId="1" type="noConversion"/>
  </si>
  <si>
    <t>공서연</t>
    <phoneticPr fontId="1" type="noConversion"/>
  </si>
  <si>
    <t>1학년</t>
    <phoneticPr fontId="1" type="noConversion"/>
  </si>
  <si>
    <t>성정훈</t>
    <phoneticPr fontId="1" type="noConversion"/>
  </si>
  <si>
    <t>김현수</t>
    <phoneticPr fontId="1" type="noConversion"/>
  </si>
  <si>
    <t>남</t>
    <phoneticPr fontId="1" type="noConversion"/>
  </si>
  <si>
    <t>3학년</t>
    <phoneticPr fontId="1" type="noConversion"/>
  </si>
  <si>
    <t>2학년</t>
    <phoneticPr fontId="1" type="noConversion"/>
  </si>
  <si>
    <t>이정훈</t>
    <phoneticPr fontId="1" type="noConversion"/>
  </si>
  <si>
    <t>전인지</t>
    <phoneticPr fontId="1" type="noConversion"/>
  </si>
  <si>
    <t>여</t>
    <phoneticPr fontId="1" type="noConversion"/>
  </si>
  <si>
    <t>한혜진</t>
    <phoneticPr fontId="1" type="noConversion"/>
  </si>
  <si>
    <t>여</t>
    <phoneticPr fontId="1" type="noConversion"/>
  </si>
  <si>
    <t>권상우</t>
    <phoneticPr fontId="1" type="noConversion"/>
  </si>
  <si>
    <t>남</t>
    <phoneticPr fontId="1" type="noConversion"/>
  </si>
  <si>
    <t>3학년</t>
    <phoneticPr fontId="1" type="noConversion"/>
  </si>
  <si>
    <t>1학년 학생수</t>
    <phoneticPr fontId="1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</si>
  <si>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2" type="noConversion"/>
  </si>
  <si>
    <t>제품코드</t>
    <phoneticPr fontId="12" type="noConversion"/>
  </si>
  <si>
    <t>제품명</t>
    <phoneticPr fontId="12" type="noConversion"/>
  </si>
  <si>
    <t>판매량</t>
  </si>
  <si>
    <t>판매금액</t>
    <phoneticPr fontId="12" type="noConversion"/>
  </si>
  <si>
    <t>&lt;제품 단가표&gt;</t>
    <phoneticPr fontId="12" type="noConversion"/>
  </si>
  <si>
    <t>제품번호</t>
    <phoneticPr fontId="12" type="noConversion"/>
  </si>
  <si>
    <t>단가</t>
    <phoneticPr fontId="12" type="noConversion"/>
  </si>
  <si>
    <t>WAS-A</t>
    <phoneticPr fontId="1" type="noConversion"/>
  </si>
  <si>
    <t>DRY-B</t>
    <phoneticPr fontId="1" type="noConversion"/>
  </si>
  <si>
    <t>WSM-C</t>
    <phoneticPr fontId="1" type="noConversion"/>
  </si>
  <si>
    <t>WAS-A</t>
    <phoneticPr fontId="1" type="noConversion"/>
  </si>
  <si>
    <t>DRY-B</t>
    <phoneticPr fontId="1" type="noConversion"/>
  </si>
  <si>
    <t>WSM-C</t>
    <phoneticPr fontId="1" type="noConversion"/>
  </si>
  <si>
    <t>WAS-A</t>
    <phoneticPr fontId="1" type="noConversion"/>
  </si>
  <si>
    <t>세탁기</t>
    <phoneticPr fontId="1" type="noConversion"/>
  </si>
  <si>
    <t>건조기</t>
    <phoneticPr fontId="1" type="noConversion"/>
  </si>
  <si>
    <t>세탁기</t>
    <phoneticPr fontId="1" type="noConversion"/>
  </si>
  <si>
    <t>세탁기</t>
    <phoneticPr fontId="1" type="noConversion"/>
  </si>
  <si>
    <t>건조기</t>
    <phoneticPr fontId="1" type="noConversion"/>
  </si>
  <si>
    <t>세탁기</t>
    <phoneticPr fontId="1" type="noConversion"/>
  </si>
  <si>
    <t>B</t>
  </si>
  <si>
    <t>사원명</t>
    <phoneticPr fontId="1" type="noConversion"/>
  </si>
  <si>
    <t>연수점수</t>
    <phoneticPr fontId="1" type="noConversion"/>
  </si>
  <si>
    <t>평가등급</t>
    <phoneticPr fontId="1" type="noConversion"/>
  </si>
  <si>
    <t>전수민</t>
    <phoneticPr fontId="1" type="noConversion"/>
  </si>
  <si>
    <t>A</t>
    <phoneticPr fontId="1" type="noConversion"/>
  </si>
  <si>
    <t>이규진</t>
    <phoneticPr fontId="1" type="noConversion"/>
  </si>
  <si>
    <t>B</t>
    <phoneticPr fontId="1" type="noConversion"/>
  </si>
  <si>
    <t>임지호</t>
    <phoneticPr fontId="1" type="noConversion"/>
  </si>
  <si>
    <t>C</t>
    <phoneticPr fontId="1" type="noConversion"/>
  </si>
  <si>
    <t>서민준</t>
    <phoneticPr fontId="1" type="noConversion"/>
  </si>
  <si>
    <t>A</t>
    <phoneticPr fontId="1" type="noConversion"/>
  </si>
  <si>
    <t>고우람</t>
    <phoneticPr fontId="1" type="noConversion"/>
  </si>
  <si>
    <t>민설현</t>
    <phoneticPr fontId="1" type="noConversion"/>
  </si>
  <si>
    <t>최중호</t>
    <phoneticPr fontId="1" type="noConversion"/>
  </si>
  <si>
    <t>박정환</t>
    <phoneticPr fontId="1" type="noConversion"/>
  </si>
  <si>
    <t>[표4]</t>
    <phoneticPr fontId="1" type="noConversion"/>
  </si>
  <si>
    <t>[표3]</t>
    <phoneticPr fontId="1" type="noConversion"/>
  </si>
  <si>
    <t>A등급 최대값-최소값 차이</t>
    <phoneticPr fontId="1" type="noConversion"/>
  </si>
  <si>
    <t>총점</t>
    <phoneticPr fontId="1" type="noConversion"/>
  </si>
  <si>
    <t>USD</t>
    <phoneticPr fontId="1" type="noConversion"/>
  </si>
  <si>
    <t>JPY</t>
    <phoneticPr fontId="1" type="noConversion"/>
  </si>
  <si>
    <t>EUR</t>
    <phoneticPr fontId="1" type="noConversion"/>
  </si>
  <si>
    <t>CNY</t>
    <phoneticPr fontId="1" type="noConversion"/>
  </si>
  <si>
    <t>통화명</t>
    <phoneticPr fontId="1" type="noConversion"/>
  </si>
  <si>
    <t>환율</t>
    <phoneticPr fontId="1" type="noConversion"/>
  </si>
  <si>
    <t>환율</t>
    <phoneticPr fontId="1" type="noConversion"/>
  </si>
  <si>
    <t>25년 한국 프로야구(KBO) 순위</t>
    <phoneticPr fontId="1" type="noConversion"/>
  </si>
  <si>
    <t>2023년</t>
    <phoneticPr fontId="1" type="noConversion"/>
  </si>
  <si>
    <t>2024년</t>
    <phoneticPr fontId="1" type="noConversion"/>
  </si>
  <si>
    <t>2025년</t>
    <phoneticPr fontId="1" type="noConversion"/>
  </si>
  <si>
    <t>2026년</t>
    <phoneticPr fontId="1" type="noConversion"/>
  </si>
  <si>
    <t>홍보부 최대</t>
  </si>
  <si>
    <t>판매부 최대</t>
  </si>
  <si>
    <t>총무부 최대</t>
  </si>
  <si>
    <t>기획부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</si>
</sst>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);[Red]\(#,##0\)"/>
    <numFmt numFmtId="177" formatCode="&quot;*&quot;#,##0&quot;건&quot;"/>
    <numFmt numFmtId="178" formatCode="mm&quot;월&quot;\ dd&quot;일&quot;"/>
    <numFmt numFmtId="179" formatCode="#,##0_ "/>
    <numFmt numFmtId="180" formatCode="0.00_ 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u val="double"/>
      <sz val="15"/>
      <color rgb="FF0070C0"/>
      <name val="맑은 고딕"/>
      <family val="2"/>
      <charset val="129"/>
      <scheme val="minor"/>
    </font>
    <font>
      <u val="double"/>
      <sz val="15"/>
      <color rgb="FF0070C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1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77" fontId="0" fillId="0" borderId="1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7" fontId="0" fillId="0" borderId="7" xfId="0" applyNumberFormat="1" applyBorder="1">
      <alignment vertical="center"/>
    </xf>
    <xf numFmtId="0" fontId="0" fillId="0" borderId="9" xfId="0" applyBorder="1">
      <alignment vertical="center"/>
    </xf>
    <xf numFmtId="177" fontId="0" fillId="0" borderId="9" xfId="0" applyNumberFormat="1" applyBorder="1">
      <alignment vertical="center"/>
    </xf>
    <xf numFmtId="177" fontId="0" fillId="0" borderId="10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11" fillId="0" borderId="1" xfId="0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3" fillId="0" borderId="0" xfId="2" applyFont="1" applyFill="1">
      <alignment vertical="center"/>
    </xf>
    <xf numFmtId="0" fontId="10" fillId="0" borderId="0" xfId="2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178" fontId="11" fillId="0" borderId="1" xfId="0" applyNumberFormat="1" applyFont="1" applyFill="1" applyBorder="1" applyAlignment="1">
      <alignment horizontal="center" vertical="center"/>
    </xf>
    <xf numFmtId="3" fontId="14" fillId="0" borderId="1" xfId="0" applyNumberFormat="1" applyFont="1" applyFill="1" applyBorder="1" applyAlignment="1">
      <alignment horizontal="right" vertical="center"/>
    </xf>
    <xf numFmtId="176" fontId="14" fillId="0" borderId="1" xfId="1" applyNumberFormat="1" applyFont="1" applyBorder="1" applyAlignment="1">
      <alignment horizontal="right" vertical="center"/>
    </xf>
    <xf numFmtId="0" fontId="11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right" vertical="center"/>
    </xf>
    <xf numFmtId="179" fontId="14" fillId="0" borderId="1" xfId="1" applyNumberFormat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4" fillId="0" borderId="1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1" fontId="0" fillId="0" borderId="1" xfId="0" quotePrefix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1" xfId="0" applyNumberFormat="1" applyFill="1" applyBorder="1" applyAlignment="1">
      <alignment horizontal="center" vertical="center"/>
    </xf>
    <xf numFmtId="0" fontId="0" fillId="3" borderId="12" xfId="0" applyNumberFormat="1" applyFill="1" applyBorder="1" applyAlignment="1">
      <alignment horizontal="center" vertical="center"/>
    </xf>
    <xf numFmtId="0" fontId="0" fillId="3" borderId="13" xfId="0" applyNumberForma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3 2" xfId="2" xr:uid="{00000000-0005-0000-0000-000002000000}"/>
  </cellStyles>
  <dxfs count="1"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재단별 지원액</a:t>
            </a:r>
            <a:r>
              <a:rPr lang="en-US" altLang="ko-KR"/>
              <a:t>/</a:t>
            </a:r>
            <a:r>
              <a:rPr lang="ko-KR" altLang="en-US"/>
              <a:t>미회수액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지원액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차트작업!$B$4:$B$9</c:f>
              <c:numCache>
                <c:formatCode>_(* #,##0_);_(* \(#,##0\);_(* "-"_);_(@_)</c:formatCode>
                <c:ptCount val="6"/>
                <c:pt idx="0">
                  <c:v>4791</c:v>
                </c:pt>
                <c:pt idx="1">
                  <c:v>9615</c:v>
                </c:pt>
                <c:pt idx="2">
                  <c:v>5936</c:v>
                </c:pt>
                <c:pt idx="3">
                  <c:v>9819</c:v>
                </c:pt>
                <c:pt idx="4">
                  <c:v>8549</c:v>
                </c:pt>
                <c:pt idx="5">
                  <c:v>6260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1-4F4A-8F53-2D2A7B584DD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미회수액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3233</c:v>
                </c:pt>
                <c:pt idx="1">
                  <c:v>6395</c:v>
                </c:pt>
                <c:pt idx="2">
                  <c:v>3611</c:v>
                </c:pt>
                <c:pt idx="3">
                  <c:v>5230</c:v>
                </c:pt>
                <c:pt idx="4">
                  <c:v>7542</c:v>
                </c:pt>
                <c:pt idx="5">
                  <c:v>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71-4F4A-8F53-2D2A7B58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275167"/>
        <c:axId val="2080270591"/>
      </c:barChart>
      <c:catAx>
        <c:axId val="20802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0591"/>
        <c:crosses val="autoZero"/>
        <c:auto val="1"/>
        <c:lblAlgn val="ctr"/>
        <c:lblOffset val="100"/>
        <c:noMultiLvlLbl val="0"/>
      </c:catAx>
      <c:valAx>
        <c:axId val="208027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5167"/>
        <c:crosses val="autoZero"/>
        <c:crossBetween val="between"/>
        <c:majorUnit val="1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서식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38650" y="11303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98.836323842595" createdVersion="6" refreshedVersion="6" minRefreshableVersion="3" recordCount="18" xr:uid="{00000000-000A-0000-FFFF-FFFF01000000}">
  <cacheSource type="worksheet">
    <worksheetSource ref="A3:H21" sheet="분석작업-2"/>
  </cacheSource>
  <cacheFields count="8">
    <cacheField name="사원번호" numFmtId="0">
      <sharedItems/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176">
      <sharedItems containsSemiMixedTypes="0" containsString="0" containsNumber="1" containsInteger="1" minValue="1600000" maxValue="3700000"/>
    </cacheField>
    <cacheField name="수당" numFmtId="176">
      <sharedItems containsSemiMixedTypes="0" containsString="0" containsNumber="1" containsInteger="1" minValue="200000" maxValue="460000"/>
    </cacheField>
    <cacheField name="시간외근무" numFmtId="176">
      <sharedItems containsMixedTypes="1" containsNumber="1" containsInteger="1" minValue="2" maxValue="8"/>
    </cacheField>
    <cacheField name="식대" numFmtId="176">
      <sharedItems containsSemiMixedTypes="0" containsString="0" containsNumber="1" containsInteger="1" minValue="60000" maxValue="150000"/>
    </cacheField>
    <cacheField name="교통비" numFmtId="176">
      <sharedItems containsSemiMixedTypes="0" containsString="0" containsNumber="1" containsInteger="1" minValue="50000" maxValue="1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GH-81"/>
    <x v="0"/>
    <x v="0"/>
    <n v="2300000"/>
    <n v="228000"/>
    <n v="2"/>
    <n v="90000"/>
    <n v="100000"/>
  </r>
  <r>
    <s v="GC-99"/>
    <x v="1"/>
    <x v="1"/>
    <n v="3300000"/>
    <n v="460000"/>
    <n v="3"/>
    <n v="120000"/>
    <n v="120000"/>
  </r>
  <r>
    <s v="CH-33"/>
    <x v="2"/>
    <x v="2"/>
    <n v="3700000"/>
    <n v="280000"/>
    <s v="*"/>
    <n v="90000"/>
    <n v="60000"/>
  </r>
  <r>
    <s v="AB-52"/>
    <x v="3"/>
    <x v="1"/>
    <n v="2300000"/>
    <n v="240000"/>
    <n v="4"/>
    <n v="150000"/>
    <n v="60000"/>
  </r>
  <r>
    <s v="GC-15"/>
    <x v="1"/>
    <x v="2"/>
    <n v="2900000"/>
    <n v="280000"/>
    <n v="2"/>
    <n v="60000"/>
    <n v="130000"/>
  </r>
  <r>
    <s v="BA-85"/>
    <x v="3"/>
    <x v="3"/>
    <n v="3600000"/>
    <n v="200000"/>
    <s v="*"/>
    <n v="140000"/>
    <n v="50000"/>
  </r>
  <r>
    <s v="IA-73"/>
    <x v="0"/>
    <x v="2"/>
    <n v="2200000"/>
    <n v="446000"/>
    <n v="5"/>
    <n v="100000"/>
    <n v="50000"/>
  </r>
  <r>
    <s v="IB-86"/>
    <x v="3"/>
    <x v="0"/>
    <n v="3600000"/>
    <n v="228000"/>
    <n v="2"/>
    <n v="150000"/>
    <n v="80000"/>
  </r>
  <r>
    <s v="CE-55"/>
    <x v="0"/>
    <x v="0"/>
    <n v="2900000"/>
    <n v="260000"/>
    <n v="6"/>
    <n v="90000"/>
    <n v="70000"/>
  </r>
  <r>
    <s v="HI-34"/>
    <x v="3"/>
    <x v="3"/>
    <n v="1600000"/>
    <n v="246000"/>
    <s v="*"/>
    <n v="150000"/>
    <n v="90000"/>
  </r>
  <r>
    <s v="EK-21"/>
    <x v="0"/>
    <x v="3"/>
    <n v="2000000"/>
    <n v="228000"/>
    <n v="5"/>
    <n v="70000"/>
    <n v="50000"/>
  </r>
  <r>
    <s v="HO-90"/>
    <x v="3"/>
    <x v="3"/>
    <n v="1700000"/>
    <n v="440000"/>
    <n v="3"/>
    <n v="90000"/>
    <n v="130000"/>
  </r>
  <r>
    <s v="AB-80"/>
    <x v="3"/>
    <x v="0"/>
    <n v="3600000"/>
    <n v="428000"/>
    <n v="2"/>
    <n v="90000"/>
    <n v="110000"/>
  </r>
  <r>
    <s v="CD-67"/>
    <x v="3"/>
    <x v="1"/>
    <n v="1600000"/>
    <n v="228000"/>
    <s v="*"/>
    <n v="90000"/>
    <n v="120000"/>
  </r>
  <r>
    <s v="AK-63"/>
    <x v="2"/>
    <x v="3"/>
    <n v="3300000"/>
    <n v="220000"/>
    <n v="8"/>
    <n v="150000"/>
    <n v="130000"/>
  </r>
  <r>
    <s v="DF-93"/>
    <x v="3"/>
    <x v="2"/>
    <n v="2500000"/>
    <n v="200000"/>
    <n v="7"/>
    <n v="60000"/>
    <n v="100000"/>
  </r>
  <r>
    <s v="BC-18"/>
    <x v="1"/>
    <x v="1"/>
    <n v="1900000"/>
    <n v="270000"/>
    <s v="*"/>
    <n v="100000"/>
    <n v="100000"/>
  </r>
  <r>
    <s v="EE-88"/>
    <x v="1"/>
    <x v="1"/>
    <n v="2800000"/>
    <n v="420000"/>
    <n v="3"/>
    <n v="150000"/>
    <n v="6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4" cacheId="1" dataOnRows="1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>
  <location ref="A26:E39" firstHeaderRow="1" firstDataRow="2" firstDataCol="1"/>
  <pivotFields count="8">
    <pivotField showAll="0"/>
    <pivotField axis="axisCol" showAll="0">
      <items count="5">
        <item x="3"/>
        <item x="1"/>
        <item x="2"/>
        <item x="0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dataField="1" numFmtId="176" showAll="0"/>
    <pivotField dataField="1" numFmtId="176" showAll="0"/>
    <pivotField showAll="0"/>
    <pivotField numFmtId="176" showAll="0"/>
    <pivotField numFmtId="176" showAll="0"/>
  </pivotFields>
  <rowFields count="2">
    <field x="2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평균 : 기본급" fld="3" subtotal="average" baseField="0" baseItem="0"/>
    <dataField name="합계 : 수당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/>
  </sheetViews>
  <sheetFormatPr defaultRowHeight="17"/>
  <sheetData>
    <row r="1" spans="1:5">
      <c r="A1" t="s">
        <v>280</v>
      </c>
    </row>
    <row r="3" spans="1:5">
      <c r="A3" t="s">
        <v>0</v>
      </c>
      <c r="B3" t="s">
        <v>2</v>
      </c>
      <c r="C3" t="s">
        <v>3</v>
      </c>
      <c r="D3" t="s">
        <v>4</v>
      </c>
      <c r="E3" t="s">
        <v>5</v>
      </c>
    </row>
    <row r="4" spans="1:5">
      <c r="A4" t="s">
        <v>1</v>
      </c>
      <c r="B4">
        <v>76</v>
      </c>
      <c r="C4">
        <v>9</v>
      </c>
      <c r="D4">
        <v>59</v>
      </c>
      <c r="E4">
        <v>0.56299999999999994</v>
      </c>
    </row>
    <row r="5" spans="1:5">
      <c r="A5" t="s">
        <v>6</v>
      </c>
      <c r="B5">
        <v>71</v>
      </c>
      <c r="C5">
        <v>8</v>
      </c>
      <c r="D5">
        <v>65</v>
      </c>
      <c r="E5">
        <v>0.52200000000000002</v>
      </c>
    </row>
    <row r="6" spans="1:5">
      <c r="A6" t="s">
        <v>7</v>
      </c>
      <c r="B6">
        <v>76</v>
      </c>
      <c r="C6">
        <v>9</v>
      </c>
      <c r="D6">
        <v>59</v>
      </c>
      <c r="E6">
        <v>0.56299999999999994</v>
      </c>
    </row>
    <row r="7" spans="1:5">
      <c r="A7" t="s">
        <v>8</v>
      </c>
      <c r="B7">
        <v>72</v>
      </c>
      <c r="C7">
        <v>14</v>
      </c>
      <c r="D7">
        <v>58</v>
      </c>
      <c r="E7">
        <v>0.55400000000000005</v>
      </c>
    </row>
    <row r="8" spans="1:5">
      <c r="A8" t="s">
        <v>9</v>
      </c>
      <c r="B8">
        <v>70</v>
      </c>
      <c r="C8">
        <v>7</v>
      </c>
      <c r="D8">
        <v>67</v>
      </c>
      <c r="E8">
        <v>0.51100000000000001</v>
      </c>
    </row>
    <row r="9" spans="1:5">
      <c r="A9" t="s">
        <v>10</v>
      </c>
      <c r="B9">
        <v>66</v>
      </c>
      <c r="C9">
        <v>14</v>
      </c>
      <c r="D9">
        <v>64</v>
      </c>
      <c r="E9">
        <v>0.50800000000000001</v>
      </c>
    </row>
    <row r="10" spans="1:5">
      <c r="A10" t="s">
        <v>11</v>
      </c>
      <c r="B10">
        <v>67</v>
      </c>
      <c r="C10">
        <v>9</v>
      </c>
      <c r="D10">
        <v>68</v>
      </c>
      <c r="E10">
        <v>0.496</v>
      </c>
    </row>
    <row r="11" spans="1:5">
      <c r="A11" t="s">
        <v>12</v>
      </c>
      <c r="B11">
        <v>65</v>
      </c>
      <c r="C11">
        <v>8</v>
      </c>
      <c r="D11">
        <v>71</v>
      </c>
      <c r="E11">
        <v>0.47799999999999998</v>
      </c>
    </row>
    <row r="12" spans="1:5">
      <c r="A12" t="s">
        <v>13</v>
      </c>
      <c r="B12">
        <v>58</v>
      </c>
      <c r="C12">
        <v>10</v>
      </c>
      <c r="D12">
        <v>76</v>
      </c>
      <c r="E12">
        <v>0.433</v>
      </c>
    </row>
    <row r="13" spans="1:5">
      <c r="A13" t="s">
        <v>14</v>
      </c>
      <c r="B13">
        <v>49</v>
      </c>
      <c r="C13">
        <v>12</v>
      </c>
      <c r="D13">
        <v>83</v>
      </c>
      <c r="E13">
        <v>0.371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6"/>
  <sheetViews>
    <sheetView workbookViewId="0">
      <selection sqref="A1:H1"/>
    </sheetView>
  </sheetViews>
  <sheetFormatPr defaultRowHeight="17"/>
  <cols>
    <col min="1" max="1" width="10.75" customWidth="1"/>
  </cols>
  <sheetData>
    <row r="1" spans="1:8" ht="25" customHeight="1">
      <c r="A1" s="55" t="s">
        <v>44</v>
      </c>
      <c r="B1" s="56"/>
      <c r="C1" s="56"/>
      <c r="D1" s="56"/>
      <c r="E1" s="56"/>
      <c r="F1" s="56"/>
      <c r="G1" s="56"/>
      <c r="H1" s="56"/>
    </row>
    <row r="2" spans="1:8" ht="17.5" thickBot="1"/>
    <row r="3" spans="1:8">
      <c r="A3" s="60" t="s">
        <v>43</v>
      </c>
      <c r="B3" s="61"/>
      <c r="C3" s="13" t="s">
        <v>36</v>
      </c>
      <c r="D3" s="13" t="s">
        <v>41</v>
      </c>
      <c r="E3" s="13" t="s">
        <v>37</v>
      </c>
      <c r="F3" s="13" t="s">
        <v>38</v>
      </c>
      <c r="G3" s="13" t="s">
        <v>39</v>
      </c>
      <c r="H3" s="14" t="s">
        <v>40</v>
      </c>
    </row>
    <row r="4" spans="1:8">
      <c r="A4" s="57" t="s">
        <v>42</v>
      </c>
      <c r="B4" s="59"/>
      <c r="C4" s="12">
        <v>4680</v>
      </c>
      <c r="D4" s="12">
        <v>4065</v>
      </c>
      <c r="E4" s="12">
        <v>2696</v>
      </c>
      <c r="F4" s="12">
        <v>2194</v>
      </c>
      <c r="G4" s="12">
        <v>1360</v>
      </c>
      <c r="H4" s="15">
        <v>1124</v>
      </c>
    </row>
    <row r="5" spans="1:8">
      <c r="A5" s="57" t="s">
        <v>29</v>
      </c>
      <c r="B5" s="2" t="s">
        <v>30</v>
      </c>
      <c r="C5" s="12">
        <v>206</v>
      </c>
      <c r="D5" s="12">
        <v>191</v>
      </c>
      <c r="E5" s="12">
        <v>141</v>
      </c>
      <c r="F5" s="12">
        <v>122</v>
      </c>
      <c r="G5" s="12">
        <v>105</v>
      </c>
      <c r="H5" s="15">
        <v>69</v>
      </c>
    </row>
    <row r="6" spans="1:8">
      <c r="A6" s="57"/>
      <c r="B6" s="2" t="s">
        <v>31</v>
      </c>
      <c r="C6" s="12">
        <v>171</v>
      </c>
      <c r="D6" s="12">
        <v>186</v>
      </c>
      <c r="E6" s="12">
        <v>118</v>
      </c>
      <c r="F6" s="12">
        <v>120</v>
      </c>
      <c r="G6" s="12">
        <v>73</v>
      </c>
      <c r="H6" s="15">
        <v>64</v>
      </c>
    </row>
    <row r="7" spans="1:8">
      <c r="A7" s="57"/>
      <c r="B7" s="2" t="s">
        <v>32</v>
      </c>
      <c r="C7" s="12">
        <v>130</v>
      </c>
      <c r="D7" s="12">
        <v>110</v>
      </c>
      <c r="E7" s="12">
        <v>47</v>
      </c>
      <c r="F7" s="12">
        <v>31</v>
      </c>
      <c r="G7" s="12">
        <v>19</v>
      </c>
      <c r="H7" s="15">
        <v>13</v>
      </c>
    </row>
    <row r="8" spans="1:8">
      <c r="A8" s="57"/>
      <c r="B8" s="2" t="s">
        <v>33</v>
      </c>
      <c r="C8" s="12">
        <v>373</v>
      </c>
      <c r="D8" s="12">
        <v>316</v>
      </c>
      <c r="E8" s="12">
        <v>146</v>
      </c>
      <c r="F8" s="12">
        <v>117</v>
      </c>
      <c r="G8" s="12">
        <v>75</v>
      </c>
      <c r="H8" s="15">
        <v>59</v>
      </c>
    </row>
    <row r="9" spans="1:8">
      <c r="A9" s="57" t="s">
        <v>34</v>
      </c>
      <c r="B9" s="2" t="s">
        <v>30</v>
      </c>
      <c r="C9" s="12">
        <v>22</v>
      </c>
      <c r="D9" s="12">
        <v>18</v>
      </c>
      <c r="E9" s="12">
        <v>16</v>
      </c>
      <c r="F9" s="12">
        <v>23</v>
      </c>
      <c r="G9" s="12">
        <v>18</v>
      </c>
      <c r="H9" s="15">
        <v>9</v>
      </c>
    </row>
    <row r="10" spans="1:8">
      <c r="A10" s="57"/>
      <c r="B10" s="2" t="s">
        <v>31</v>
      </c>
      <c r="C10" s="12">
        <v>36</v>
      </c>
      <c r="D10" s="12">
        <v>33</v>
      </c>
      <c r="E10" s="12">
        <v>24</v>
      </c>
      <c r="F10" s="12">
        <v>24</v>
      </c>
      <c r="G10" s="12">
        <v>28</v>
      </c>
      <c r="H10" s="15">
        <v>25</v>
      </c>
    </row>
    <row r="11" spans="1:8">
      <c r="A11" s="57"/>
      <c r="B11" s="2" t="s">
        <v>32</v>
      </c>
      <c r="C11" s="12">
        <v>59</v>
      </c>
      <c r="D11" s="12">
        <v>61</v>
      </c>
      <c r="E11" s="12">
        <v>38</v>
      </c>
      <c r="F11" s="12">
        <v>30</v>
      </c>
      <c r="G11" s="12">
        <v>28</v>
      </c>
      <c r="H11" s="15">
        <v>27</v>
      </c>
    </row>
    <row r="12" spans="1:8">
      <c r="A12" s="57"/>
      <c r="B12" s="2" t="s">
        <v>33</v>
      </c>
      <c r="C12" s="12">
        <v>23</v>
      </c>
      <c r="D12" s="12">
        <v>15</v>
      </c>
      <c r="E12" s="12">
        <v>33</v>
      </c>
      <c r="F12" s="12">
        <v>33</v>
      </c>
      <c r="G12" s="12">
        <v>22</v>
      </c>
      <c r="H12" s="15">
        <v>22</v>
      </c>
    </row>
    <row r="13" spans="1:8">
      <c r="A13" s="57" t="s">
        <v>35</v>
      </c>
      <c r="B13" s="2" t="s">
        <v>30</v>
      </c>
      <c r="C13" s="12">
        <v>131</v>
      </c>
      <c r="D13" s="12">
        <v>159</v>
      </c>
      <c r="E13" s="12">
        <v>91</v>
      </c>
      <c r="F13" s="12">
        <v>64</v>
      </c>
      <c r="G13" s="12">
        <v>62</v>
      </c>
      <c r="H13" s="15">
        <v>71</v>
      </c>
    </row>
    <row r="14" spans="1:8">
      <c r="A14" s="57"/>
      <c r="B14" s="2" t="s">
        <v>31</v>
      </c>
      <c r="C14" s="12">
        <v>167</v>
      </c>
      <c r="D14" s="12">
        <v>179</v>
      </c>
      <c r="E14" s="12">
        <v>242</v>
      </c>
      <c r="F14" s="12">
        <v>142</v>
      </c>
      <c r="G14" s="12">
        <v>146</v>
      </c>
      <c r="H14" s="15">
        <v>204</v>
      </c>
    </row>
    <row r="15" spans="1:8">
      <c r="A15" s="57"/>
      <c r="B15" s="2" t="s">
        <v>32</v>
      </c>
      <c r="C15" s="12">
        <v>249</v>
      </c>
      <c r="D15" s="12">
        <v>264</v>
      </c>
      <c r="E15" s="12">
        <v>262</v>
      </c>
      <c r="F15" s="12">
        <v>230</v>
      </c>
      <c r="G15" s="12">
        <v>171</v>
      </c>
      <c r="H15" s="15">
        <v>172</v>
      </c>
    </row>
    <row r="16" spans="1:8" ht="17.5" thickBot="1">
      <c r="A16" s="58"/>
      <c r="B16" s="16" t="s">
        <v>33</v>
      </c>
      <c r="C16" s="17">
        <v>459</v>
      </c>
      <c r="D16" s="17">
        <v>435</v>
      </c>
      <c r="E16" s="17">
        <v>406</v>
      </c>
      <c r="F16" s="17">
        <v>446</v>
      </c>
      <c r="G16" s="17">
        <v>377</v>
      </c>
      <c r="H16" s="18">
        <v>318</v>
      </c>
    </row>
  </sheetData>
  <mergeCells count="6">
    <mergeCell ref="A1:H1"/>
    <mergeCell ref="A13:A16"/>
    <mergeCell ref="A9:A12"/>
    <mergeCell ref="A5:A8"/>
    <mergeCell ref="A4:B4"/>
    <mergeCell ref="A3:B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5"/>
  <sheetViews>
    <sheetView workbookViewId="0">
      <selection activeCell="I17" sqref="I17"/>
    </sheetView>
  </sheetViews>
  <sheetFormatPr defaultRowHeight="17"/>
  <cols>
    <col min="1" max="1" width="15" bestFit="1" customWidth="1"/>
  </cols>
  <sheetData>
    <row r="1" spans="1:5" ht="25.5">
      <c r="A1" s="62" t="s">
        <v>28</v>
      </c>
      <c r="B1" s="62"/>
      <c r="C1" s="62"/>
      <c r="D1" s="62"/>
      <c r="E1" s="62"/>
    </row>
    <row r="3" spans="1:5">
      <c r="A3" s="1" t="s">
        <v>24</v>
      </c>
      <c r="B3" s="52" t="s">
        <v>281</v>
      </c>
      <c r="C3" s="52" t="s">
        <v>282</v>
      </c>
      <c r="D3" s="52" t="s">
        <v>283</v>
      </c>
      <c r="E3" s="52" t="s">
        <v>284</v>
      </c>
    </row>
    <row r="4" spans="1:5">
      <c r="A4" s="1" t="s">
        <v>15</v>
      </c>
      <c r="B4" s="4">
        <v>8950</v>
      </c>
      <c r="C4" s="4">
        <v>9666</v>
      </c>
      <c r="D4" s="4">
        <v>7530</v>
      </c>
      <c r="E4" s="4">
        <v>8105</v>
      </c>
    </row>
    <row r="5" spans="1:5">
      <c r="A5" s="1" t="s">
        <v>16</v>
      </c>
      <c r="B5" s="4">
        <v>15776</v>
      </c>
      <c r="C5" s="4">
        <v>16743</v>
      </c>
      <c r="D5" s="4">
        <v>12030</v>
      </c>
      <c r="E5" s="4">
        <v>15104</v>
      </c>
    </row>
    <row r="6" spans="1:5">
      <c r="A6" s="1" t="s">
        <v>17</v>
      </c>
      <c r="B6" s="4">
        <v>5297</v>
      </c>
      <c r="C6" s="4">
        <v>5290</v>
      </c>
      <c r="D6" s="4">
        <v>5577</v>
      </c>
      <c r="E6" s="4">
        <v>4861</v>
      </c>
    </row>
    <row r="7" spans="1:5">
      <c r="A7" s="1" t="s">
        <v>18</v>
      </c>
      <c r="B7" s="4">
        <v>12192</v>
      </c>
      <c r="C7" s="4">
        <v>12826</v>
      </c>
      <c r="D7" s="4">
        <v>12222</v>
      </c>
      <c r="E7" s="4">
        <v>13078</v>
      </c>
    </row>
    <row r="8" spans="1:5">
      <c r="A8" s="1" t="s">
        <v>19</v>
      </c>
      <c r="B8" s="4">
        <v>10220</v>
      </c>
      <c r="C8" s="4">
        <v>10670</v>
      </c>
      <c r="D8" s="4">
        <v>12089</v>
      </c>
      <c r="E8" s="4">
        <v>13029</v>
      </c>
    </row>
    <row r="9" spans="1:5">
      <c r="A9" s="1" t="s">
        <v>20</v>
      </c>
      <c r="B9" s="4">
        <v>6525</v>
      </c>
      <c r="C9" s="4">
        <v>6632</v>
      </c>
      <c r="D9" s="4">
        <v>6552</v>
      </c>
      <c r="E9" s="4">
        <v>7841</v>
      </c>
    </row>
    <row r="10" spans="1:5">
      <c r="A10" s="1" t="s">
        <v>21</v>
      </c>
      <c r="B10" s="4">
        <v>3750</v>
      </c>
      <c r="C10" s="4">
        <v>3599</v>
      </c>
      <c r="D10" s="4">
        <v>4470</v>
      </c>
      <c r="E10" s="4">
        <v>4814</v>
      </c>
    </row>
    <row r="11" spans="1:5">
      <c r="A11" s="1" t="s">
        <v>26</v>
      </c>
      <c r="B11" s="4">
        <v>4400</v>
      </c>
      <c r="C11" s="4">
        <v>4309</v>
      </c>
      <c r="D11" s="4">
        <v>4652</v>
      </c>
      <c r="E11" s="4">
        <v>3922</v>
      </c>
    </row>
    <row r="12" spans="1:5">
      <c r="A12" s="1" t="s">
        <v>27</v>
      </c>
      <c r="B12" s="4">
        <v>6288</v>
      </c>
      <c r="C12" s="4">
        <v>6373</v>
      </c>
      <c r="D12" s="4">
        <v>7124</v>
      </c>
      <c r="E12" s="4">
        <v>6738</v>
      </c>
    </row>
    <row r="13" spans="1:5">
      <c r="A13" s="1" t="s">
        <v>25</v>
      </c>
      <c r="B13" s="4">
        <v>3770</v>
      </c>
      <c r="C13" s="4">
        <v>3621</v>
      </c>
      <c r="D13" s="4">
        <v>4609</v>
      </c>
      <c r="E13" s="4">
        <v>4775</v>
      </c>
    </row>
    <row r="14" spans="1:5">
      <c r="A14" s="1" t="s">
        <v>23</v>
      </c>
      <c r="B14" s="4">
        <v>7459</v>
      </c>
      <c r="C14" s="4">
        <v>7653</v>
      </c>
      <c r="D14" s="4">
        <v>8781</v>
      </c>
      <c r="E14" s="4">
        <v>8421</v>
      </c>
    </row>
    <row r="15" spans="1:5">
      <c r="A15" s="1" t="s">
        <v>22</v>
      </c>
      <c r="B15" s="4">
        <v>5189</v>
      </c>
      <c r="C15" s="4">
        <v>6784</v>
      </c>
      <c r="D15" s="4">
        <v>7515</v>
      </c>
      <c r="E15" s="4">
        <v>4998</v>
      </c>
    </row>
  </sheetData>
  <mergeCells count="1">
    <mergeCell ref="A1:E1"/>
  </mergeCells>
  <phoneticPr fontId="1" type="noConversion"/>
  <conditionalFormatting sqref="A4:E15">
    <cfRule type="expression" dxfId="0" priority="1">
      <formula>$B4&gt;$E4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L32"/>
  <sheetViews>
    <sheetView workbookViewId="0"/>
  </sheetViews>
  <sheetFormatPr defaultRowHeight="17"/>
  <cols>
    <col min="9" max="9" width="10.08203125" customWidth="1"/>
  </cols>
  <sheetData>
    <row r="1" spans="1:12">
      <c r="A1" s="24" t="s">
        <v>185</v>
      </c>
      <c r="B1" s="25"/>
      <c r="D1" s="27"/>
      <c r="F1" s="37" t="s">
        <v>183</v>
      </c>
      <c r="G1" s="38"/>
      <c r="H1" s="39"/>
      <c r="I1" s="39" t="s">
        <v>232</v>
      </c>
    </row>
    <row r="2" spans="1:12">
      <c r="A2" s="34" t="s">
        <v>186</v>
      </c>
      <c r="B2" s="34" t="s">
        <v>187</v>
      </c>
      <c r="C2" s="34" t="s">
        <v>188</v>
      </c>
      <c r="D2" s="30" t="s">
        <v>203</v>
      </c>
      <c r="F2" s="40" t="s">
        <v>233</v>
      </c>
      <c r="G2" s="40" t="s">
        <v>234</v>
      </c>
      <c r="H2" s="40" t="s">
        <v>235</v>
      </c>
      <c r="I2" s="41" t="s">
        <v>236</v>
      </c>
      <c r="K2" s="66" t="s">
        <v>237</v>
      </c>
      <c r="L2" s="66"/>
    </row>
    <row r="3" spans="1:12">
      <c r="A3" s="34" t="s">
        <v>189</v>
      </c>
      <c r="B3" s="34" t="s">
        <v>190</v>
      </c>
      <c r="C3" s="34">
        <v>85</v>
      </c>
      <c r="D3" s="31" t="str">
        <f>IF(_xlfn.RANK.EQ(C3,$C$3:$C$11)=1,"1등",IF(_xlfn.RANK.EQ(C3,$C$3:$C$11)=2,"2등",IF(_xlfn.RANK.EQ(C3,$C$3:$C$11)=3,"3등","")))</f>
        <v/>
      </c>
      <c r="F3" s="42" t="s">
        <v>243</v>
      </c>
      <c r="G3" s="40" t="s">
        <v>247</v>
      </c>
      <c r="H3" s="43">
        <v>101</v>
      </c>
      <c r="I3" s="44">
        <f>ROUND(VLOOKUP(F3,$K$4:$L$6,2,0)*H3,-3)</f>
        <v>76000</v>
      </c>
      <c r="K3" s="40" t="s">
        <v>238</v>
      </c>
      <c r="L3" s="40" t="s">
        <v>239</v>
      </c>
    </row>
    <row r="4" spans="1:12">
      <c r="A4" s="34" t="s">
        <v>191</v>
      </c>
      <c r="B4" s="34" t="s">
        <v>192</v>
      </c>
      <c r="C4" s="34">
        <v>89</v>
      </c>
      <c r="D4" s="31" t="str">
        <f t="shared" ref="D4:D11" si="0">IF(_xlfn.RANK.EQ(C4,$C$3:$C$11)=1,"1등",IF(_xlfn.RANK.EQ(C4,$C$3:$C$11)=2,"2등",IF(_xlfn.RANK.EQ(C4,$C$3:$C$11)=3,"3등","")))</f>
        <v/>
      </c>
      <c r="F4" s="45" t="s">
        <v>244</v>
      </c>
      <c r="G4" s="40" t="s">
        <v>248</v>
      </c>
      <c r="H4" s="46">
        <v>102</v>
      </c>
      <c r="I4" s="44">
        <f t="shared" ref="I4:I11" si="1">ROUND(VLOOKUP(F4,$K$4:$L$6,2,0)*H4,-3)</f>
        <v>82000</v>
      </c>
      <c r="K4" s="23" t="s">
        <v>240</v>
      </c>
      <c r="L4" s="47">
        <v>750</v>
      </c>
    </row>
    <row r="5" spans="1:12">
      <c r="A5" s="34" t="s">
        <v>193</v>
      </c>
      <c r="B5" s="34" t="s">
        <v>194</v>
      </c>
      <c r="C5" s="34">
        <v>95</v>
      </c>
      <c r="D5" s="31" t="str">
        <f t="shared" si="0"/>
        <v>2등</v>
      </c>
      <c r="F5" s="45" t="s">
        <v>245</v>
      </c>
      <c r="G5" s="40" t="s">
        <v>249</v>
      </c>
      <c r="H5" s="46">
        <v>303</v>
      </c>
      <c r="I5" s="44">
        <f t="shared" si="1"/>
        <v>258000</v>
      </c>
      <c r="K5" s="23" t="s">
        <v>241</v>
      </c>
      <c r="L5" s="47">
        <v>800</v>
      </c>
    </row>
    <row r="6" spans="1:12">
      <c r="A6" s="34" t="s">
        <v>195</v>
      </c>
      <c r="B6" s="34" t="s">
        <v>190</v>
      </c>
      <c r="C6" s="34">
        <v>87</v>
      </c>
      <c r="D6" s="31" t="str">
        <f t="shared" si="0"/>
        <v/>
      </c>
      <c r="F6" s="42" t="s">
        <v>246</v>
      </c>
      <c r="G6" s="40" t="s">
        <v>250</v>
      </c>
      <c r="H6" s="46">
        <v>125</v>
      </c>
      <c r="I6" s="44">
        <f t="shared" si="1"/>
        <v>94000</v>
      </c>
      <c r="J6" s="48"/>
      <c r="K6" s="23" t="s">
        <v>242</v>
      </c>
      <c r="L6" s="47">
        <v>850</v>
      </c>
    </row>
    <row r="7" spans="1:12">
      <c r="A7" s="34" t="s">
        <v>196</v>
      </c>
      <c r="B7" s="34" t="s">
        <v>194</v>
      </c>
      <c r="C7" s="34">
        <v>92</v>
      </c>
      <c r="D7" s="31" t="str">
        <f t="shared" si="0"/>
        <v/>
      </c>
      <c r="F7" s="45" t="s">
        <v>245</v>
      </c>
      <c r="G7" s="40" t="s">
        <v>247</v>
      </c>
      <c r="H7" s="46">
        <v>114</v>
      </c>
      <c r="I7" s="44">
        <f t="shared" si="1"/>
        <v>97000</v>
      </c>
      <c r="J7" s="48"/>
      <c r="K7" s="48"/>
    </row>
    <row r="8" spans="1:12">
      <c r="A8" s="34" t="s">
        <v>197</v>
      </c>
      <c r="B8" s="34" t="s">
        <v>192</v>
      </c>
      <c r="C8" s="34">
        <v>94</v>
      </c>
      <c r="D8" s="31" t="str">
        <f t="shared" si="0"/>
        <v>3등</v>
      </c>
      <c r="F8" s="45" t="s">
        <v>244</v>
      </c>
      <c r="G8" s="40" t="s">
        <v>251</v>
      </c>
      <c r="H8" s="49">
        <v>127</v>
      </c>
      <c r="I8" s="44">
        <f t="shared" si="1"/>
        <v>102000</v>
      </c>
      <c r="J8" s="48"/>
      <c r="K8" s="48"/>
    </row>
    <row r="9" spans="1:12">
      <c r="A9" s="34" t="s">
        <v>198</v>
      </c>
      <c r="B9" s="34" t="s">
        <v>194</v>
      </c>
      <c r="C9" s="34">
        <v>89</v>
      </c>
      <c r="D9" s="31" t="str">
        <f t="shared" si="0"/>
        <v/>
      </c>
      <c r="F9" s="42" t="s">
        <v>243</v>
      </c>
      <c r="G9" s="40" t="s">
        <v>252</v>
      </c>
      <c r="H9" s="50">
        <v>106</v>
      </c>
      <c r="I9" s="44">
        <f t="shared" si="1"/>
        <v>80000</v>
      </c>
      <c r="J9" s="48"/>
      <c r="K9" s="48"/>
    </row>
    <row r="10" spans="1:12">
      <c r="A10" s="34" t="s">
        <v>199</v>
      </c>
      <c r="B10" s="34" t="s">
        <v>200</v>
      </c>
      <c r="C10" s="34">
        <v>99</v>
      </c>
      <c r="D10" s="31" t="str">
        <f t="shared" si="0"/>
        <v>1등</v>
      </c>
      <c r="F10" s="45" t="s">
        <v>245</v>
      </c>
      <c r="G10" s="40" t="s">
        <v>249</v>
      </c>
      <c r="H10" s="2">
        <v>298</v>
      </c>
      <c r="I10" s="44">
        <f t="shared" si="1"/>
        <v>253000</v>
      </c>
    </row>
    <row r="11" spans="1:12">
      <c r="A11" s="34" t="s">
        <v>201</v>
      </c>
      <c r="B11" s="34" t="s">
        <v>202</v>
      </c>
      <c r="C11" s="34">
        <v>90</v>
      </c>
      <c r="D11" s="31" t="str">
        <f t="shared" si="0"/>
        <v/>
      </c>
      <c r="F11" s="45" t="s">
        <v>244</v>
      </c>
      <c r="G11" s="40" t="s">
        <v>251</v>
      </c>
      <c r="H11" s="2">
        <v>152</v>
      </c>
      <c r="I11" s="44">
        <f t="shared" si="1"/>
        <v>122000</v>
      </c>
    </row>
    <row r="13" spans="1:12">
      <c r="A13" s="24" t="s">
        <v>270</v>
      </c>
      <c r="B13" s="35"/>
      <c r="C13" s="36"/>
      <c r="D13" s="36"/>
      <c r="F13" s="37" t="s">
        <v>269</v>
      </c>
      <c r="G13" s="38"/>
    </row>
    <row r="14" spans="1:12">
      <c r="A14" s="23" t="s">
        <v>204</v>
      </c>
      <c r="B14" s="23" t="s">
        <v>205</v>
      </c>
      <c r="C14" s="23" t="s">
        <v>206</v>
      </c>
      <c r="D14" s="23" t="s">
        <v>207</v>
      </c>
      <c r="F14" s="23" t="s">
        <v>254</v>
      </c>
      <c r="G14" s="23" t="s">
        <v>255</v>
      </c>
      <c r="H14" s="23" t="s">
        <v>256</v>
      </c>
      <c r="I14" s="23" t="s">
        <v>272</v>
      </c>
    </row>
    <row r="15" spans="1:12">
      <c r="A15" s="23" t="s">
        <v>208</v>
      </c>
      <c r="B15" s="23" t="s">
        <v>209</v>
      </c>
      <c r="C15" s="29" t="s">
        <v>210</v>
      </c>
      <c r="D15" s="29">
        <v>75</v>
      </c>
      <c r="F15" s="23" t="s">
        <v>257</v>
      </c>
      <c r="G15" s="23">
        <v>90</v>
      </c>
      <c r="H15" s="23" t="s">
        <v>258</v>
      </c>
      <c r="I15" s="51">
        <v>114</v>
      </c>
    </row>
    <row r="16" spans="1:12">
      <c r="A16" s="23" t="s">
        <v>211</v>
      </c>
      <c r="B16" s="23" t="s">
        <v>209</v>
      </c>
      <c r="C16" s="29" t="s">
        <v>212</v>
      </c>
      <c r="D16" s="29">
        <v>128</v>
      </c>
      <c r="F16" s="23" t="s">
        <v>259</v>
      </c>
      <c r="G16" s="23">
        <v>89</v>
      </c>
      <c r="H16" s="23" t="s">
        <v>260</v>
      </c>
      <c r="I16" s="51">
        <v>106</v>
      </c>
    </row>
    <row r="17" spans="1:9">
      <c r="A17" s="23" t="s">
        <v>213</v>
      </c>
      <c r="B17" s="23" t="s">
        <v>214</v>
      </c>
      <c r="C17" s="29" t="s">
        <v>215</v>
      </c>
      <c r="D17" s="29">
        <v>142</v>
      </c>
      <c r="F17" s="23" t="s">
        <v>261</v>
      </c>
      <c r="G17" s="23">
        <v>78</v>
      </c>
      <c r="H17" s="23" t="s">
        <v>262</v>
      </c>
      <c r="I17" s="51">
        <v>102</v>
      </c>
    </row>
    <row r="18" spans="1:9">
      <c r="A18" s="23" t="s">
        <v>216</v>
      </c>
      <c r="B18" s="23" t="s">
        <v>214</v>
      </c>
      <c r="C18" s="29" t="s">
        <v>217</v>
      </c>
      <c r="D18" s="29">
        <v>135</v>
      </c>
      <c r="F18" s="23" t="s">
        <v>263</v>
      </c>
      <c r="G18" s="23">
        <v>92</v>
      </c>
      <c r="H18" s="23" t="s">
        <v>264</v>
      </c>
      <c r="I18" s="51">
        <v>116</v>
      </c>
    </row>
    <row r="19" spans="1:9">
      <c r="A19" s="23" t="s">
        <v>218</v>
      </c>
      <c r="B19" s="23" t="s">
        <v>209</v>
      </c>
      <c r="C19" s="29" t="s">
        <v>212</v>
      </c>
      <c r="D19" s="29">
        <v>132</v>
      </c>
      <c r="F19" s="23" t="s">
        <v>265</v>
      </c>
      <c r="G19" s="23">
        <v>89</v>
      </c>
      <c r="H19" s="23" t="s">
        <v>262</v>
      </c>
      <c r="I19" s="51">
        <v>113</v>
      </c>
    </row>
    <row r="20" spans="1:9">
      <c r="A20" s="23" t="s">
        <v>219</v>
      </c>
      <c r="B20" s="23" t="s">
        <v>220</v>
      </c>
      <c r="C20" s="29" t="s">
        <v>217</v>
      </c>
      <c r="D20" s="29">
        <v>110</v>
      </c>
      <c r="F20" s="23" t="s">
        <v>266</v>
      </c>
      <c r="G20" s="23">
        <v>92</v>
      </c>
      <c r="H20" s="23" t="s">
        <v>253</v>
      </c>
      <c r="I20" s="51">
        <v>109</v>
      </c>
    </row>
    <row r="21" spans="1:9">
      <c r="A21" s="23" t="s">
        <v>223</v>
      </c>
      <c r="B21" s="23" t="s">
        <v>209</v>
      </c>
      <c r="C21" s="29" t="s">
        <v>221</v>
      </c>
      <c r="D21" s="29">
        <v>175</v>
      </c>
      <c r="F21" s="23" t="s">
        <v>267</v>
      </c>
      <c r="G21" s="23">
        <v>88</v>
      </c>
      <c r="H21" s="23" t="s">
        <v>262</v>
      </c>
      <c r="I21" s="51">
        <v>112</v>
      </c>
    </row>
    <row r="22" spans="1:9">
      <c r="A22" s="29" t="s">
        <v>224</v>
      </c>
      <c r="B22" s="29" t="s">
        <v>225</v>
      </c>
      <c r="C22" s="29" t="s">
        <v>215</v>
      </c>
      <c r="D22" s="29">
        <v>163</v>
      </c>
      <c r="F22" s="23" t="s">
        <v>268</v>
      </c>
      <c r="G22" s="23">
        <v>94</v>
      </c>
      <c r="H22" s="23" t="s">
        <v>264</v>
      </c>
      <c r="I22" s="51">
        <v>113</v>
      </c>
    </row>
    <row r="23" spans="1:9">
      <c r="A23" s="29" t="s">
        <v>226</v>
      </c>
      <c r="B23" s="29" t="s">
        <v>227</v>
      </c>
      <c r="C23" s="29" t="s">
        <v>222</v>
      </c>
      <c r="D23" s="29">
        <v>142</v>
      </c>
    </row>
    <row r="24" spans="1:9">
      <c r="A24" s="29" t="s">
        <v>228</v>
      </c>
      <c r="B24" s="29" t="s">
        <v>229</v>
      </c>
      <c r="C24" s="29" t="s">
        <v>230</v>
      </c>
      <c r="D24" s="29">
        <v>172</v>
      </c>
      <c r="F24" s="23" t="s">
        <v>256</v>
      </c>
      <c r="G24" s="67" t="s">
        <v>271</v>
      </c>
      <c r="H24" s="67"/>
      <c r="I24" s="67"/>
    </row>
    <row r="25" spans="1:9">
      <c r="A25" s="63" t="s">
        <v>231</v>
      </c>
      <c r="B25" s="64"/>
      <c r="C25" s="65"/>
      <c r="D25" s="23" t="str">
        <f>COUNTIF(C15:C24,"1학년")&amp;"명"</f>
        <v>3명</v>
      </c>
      <c r="F25" s="23" t="s">
        <v>258</v>
      </c>
      <c r="G25" s="68">
        <f>DMAX(F14:I22,4,F24:F25)-DMIN(F14:I22,4,F24:F25)</f>
        <v>3</v>
      </c>
      <c r="H25" s="68"/>
      <c r="I25" s="68"/>
    </row>
    <row r="27" spans="1:9">
      <c r="A27" s="24" t="s">
        <v>184</v>
      </c>
      <c r="B27" s="25"/>
    </row>
    <row r="28" spans="1:9">
      <c r="A28" s="23" t="s">
        <v>277</v>
      </c>
      <c r="B28" s="23" t="s">
        <v>278</v>
      </c>
    </row>
    <row r="29" spans="1:9">
      <c r="A29" s="23" t="s">
        <v>273</v>
      </c>
      <c r="B29" s="53">
        <v>1306</v>
      </c>
    </row>
    <row r="30" spans="1:9">
      <c r="A30" s="23" t="s">
        <v>274</v>
      </c>
      <c r="B30" s="53">
        <v>961.74</v>
      </c>
    </row>
    <row r="31" spans="1:9">
      <c r="A31" s="23" t="s">
        <v>275</v>
      </c>
      <c r="B31" s="53">
        <v>1329.64</v>
      </c>
      <c r="D31" s="28" t="s">
        <v>279</v>
      </c>
      <c r="E31" s="32"/>
    </row>
    <row r="32" spans="1:9">
      <c r="A32" s="23" t="s">
        <v>276</v>
      </c>
      <c r="B32" s="53">
        <v>194.58</v>
      </c>
      <c r="C32" s="28" t="s">
        <v>275</v>
      </c>
      <c r="D32" s="26">
        <f>TRUNC(INDEX(A29:B32,MATCH(C32,A29:A32,0),2))</f>
        <v>1329</v>
      </c>
      <c r="E32" s="33"/>
    </row>
  </sheetData>
  <mergeCells count="4">
    <mergeCell ref="A25:C25"/>
    <mergeCell ref="K2:L2"/>
    <mergeCell ref="G24:I24"/>
    <mergeCell ref="G25:I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7"/>
  <sheetViews>
    <sheetView workbookViewId="0">
      <selection sqref="A1:G1"/>
    </sheetView>
  </sheetViews>
  <sheetFormatPr defaultRowHeight="17" outlineLevelRow="3"/>
  <cols>
    <col min="1" max="1" width="9.5" bestFit="1" customWidth="1"/>
    <col min="3" max="3" width="13.25" bestFit="1" customWidth="1"/>
    <col min="4" max="4" width="10.58203125" bestFit="1" customWidth="1"/>
    <col min="6" max="7" width="10.58203125" bestFit="1" customWidth="1"/>
  </cols>
  <sheetData>
    <row r="1" spans="1:7" ht="21">
      <c r="A1" s="69" t="s">
        <v>131</v>
      </c>
      <c r="B1" s="69"/>
      <c r="C1" s="69"/>
      <c r="D1" s="69"/>
      <c r="E1" s="69"/>
      <c r="F1" s="69"/>
      <c r="G1" s="69"/>
    </row>
    <row r="3" spans="1:7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  <c r="G3" s="1" t="s">
        <v>78</v>
      </c>
    </row>
    <row r="4" spans="1:7" outlineLevel="3">
      <c r="A4" s="1" t="s">
        <v>89</v>
      </c>
      <c r="B4" s="1" t="s">
        <v>90</v>
      </c>
      <c r="C4" s="1" t="s">
        <v>91</v>
      </c>
      <c r="D4" s="4">
        <v>1905890</v>
      </c>
      <c r="E4" s="4">
        <v>1</v>
      </c>
      <c r="F4" s="4">
        <v>358835</v>
      </c>
      <c r="G4" s="4">
        <f>D4+F4</f>
        <v>2264725</v>
      </c>
    </row>
    <row r="5" spans="1:7" outlineLevel="3">
      <c r="A5" s="1" t="s">
        <v>105</v>
      </c>
      <c r="B5" s="1" t="s">
        <v>106</v>
      </c>
      <c r="C5" s="1" t="s">
        <v>91</v>
      </c>
      <c r="D5" s="4">
        <v>2125600</v>
      </c>
      <c r="E5" s="4">
        <v>3</v>
      </c>
      <c r="F5" s="4">
        <v>168840</v>
      </c>
      <c r="G5" s="4">
        <f>D5+F5</f>
        <v>2294440</v>
      </c>
    </row>
    <row r="6" spans="1:7" outlineLevel="3">
      <c r="A6" s="1" t="s">
        <v>107</v>
      </c>
      <c r="B6" s="1" t="s">
        <v>108</v>
      </c>
      <c r="C6" s="1" t="s">
        <v>91</v>
      </c>
      <c r="D6" s="4">
        <v>2028400</v>
      </c>
      <c r="E6" s="4">
        <v>2</v>
      </c>
      <c r="F6" s="4">
        <v>154260</v>
      </c>
      <c r="G6" s="4">
        <f>D6+F6</f>
        <v>2182660</v>
      </c>
    </row>
    <row r="7" spans="1:7" outlineLevel="3">
      <c r="A7" s="1" t="s">
        <v>113</v>
      </c>
      <c r="B7" s="1" t="s">
        <v>114</v>
      </c>
      <c r="C7" s="1" t="s">
        <v>91</v>
      </c>
      <c r="D7" s="4">
        <v>1758900</v>
      </c>
      <c r="E7" s="4">
        <v>1</v>
      </c>
      <c r="F7" s="4">
        <v>113835</v>
      </c>
      <c r="G7" s="4">
        <f>D7+F7</f>
        <v>1872735</v>
      </c>
    </row>
    <row r="8" spans="1:7" outlineLevel="3">
      <c r="A8" s="1" t="s">
        <v>127</v>
      </c>
      <c r="B8" s="1" t="s">
        <v>128</v>
      </c>
      <c r="C8" s="1" t="s">
        <v>91</v>
      </c>
      <c r="D8" s="4">
        <v>2559000</v>
      </c>
      <c r="E8" s="4">
        <v>4</v>
      </c>
      <c r="F8" s="4">
        <v>158850</v>
      </c>
      <c r="G8" s="4">
        <f>D8+F8</f>
        <v>2717850</v>
      </c>
    </row>
    <row r="9" spans="1:7" outlineLevel="2">
      <c r="A9" s="54"/>
      <c r="B9" s="54"/>
      <c r="C9" s="19" t="s">
        <v>285</v>
      </c>
      <c r="D9" s="4"/>
      <c r="E9" s="4"/>
      <c r="F9" s="4"/>
      <c r="G9" s="4">
        <f>SUBTOTAL(4,G4:G8)</f>
        <v>2717850</v>
      </c>
    </row>
    <row r="10" spans="1:7" outlineLevel="1">
      <c r="A10" s="54"/>
      <c r="B10" s="54"/>
      <c r="C10" s="19" t="s">
        <v>177</v>
      </c>
      <c r="D10" s="4">
        <f>SUBTOTAL(1,D4:D8)</f>
        <v>2075558</v>
      </c>
      <c r="E10" s="4"/>
      <c r="F10" s="4">
        <f>SUBTOTAL(1,F4:F8)</f>
        <v>190924</v>
      </c>
      <c r="G10" s="4"/>
    </row>
    <row r="11" spans="1:7" outlineLevel="3">
      <c r="A11" s="1" t="s">
        <v>94</v>
      </c>
      <c r="B11" s="1" t="s">
        <v>95</v>
      </c>
      <c r="C11" s="1" t="s">
        <v>96</v>
      </c>
      <c r="D11" s="4">
        <v>2735000</v>
      </c>
      <c r="E11" s="4">
        <v>4</v>
      </c>
      <c r="F11" s="4">
        <v>185250</v>
      </c>
      <c r="G11" s="4">
        <f t="shared" ref="G11:G18" si="0">D11+F11</f>
        <v>2920250</v>
      </c>
    </row>
    <row r="12" spans="1:7" outlineLevel="3">
      <c r="A12" s="1" t="s">
        <v>99</v>
      </c>
      <c r="B12" s="1" t="s">
        <v>100</v>
      </c>
      <c r="C12" s="1" t="s">
        <v>96</v>
      </c>
      <c r="D12" s="4">
        <v>2653200</v>
      </c>
      <c r="E12" s="4">
        <v>5</v>
      </c>
      <c r="F12" s="4">
        <v>172980</v>
      </c>
      <c r="G12" s="4">
        <f t="shared" si="0"/>
        <v>2826180</v>
      </c>
    </row>
    <row r="13" spans="1:7" outlineLevel="3">
      <c r="A13" s="1" t="s">
        <v>115</v>
      </c>
      <c r="B13" s="1" t="s">
        <v>116</v>
      </c>
      <c r="C13" s="1" t="s">
        <v>96</v>
      </c>
      <c r="D13" s="4">
        <v>1926500</v>
      </c>
      <c r="E13" s="4">
        <v>2</v>
      </c>
      <c r="F13" s="4">
        <v>138975</v>
      </c>
      <c r="G13" s="4">
        <f t="shared" si="0"/>
        <v>2065475</v>
      </c>
    </row>
    <row r="14" spans="1:7" outlineLevel="3">
      <c r="A14" s="1" t="s">
        <v>117</v>
      </c>
      <c r="B14" s="1" t="s">
        <v>118</v>
      </c>
      <c r="C14" s="1" t="s">
        <v>96</v>
      </c>
      <c r="D14" s="4">
        <v>1915600</v>
      </c>
      <c r="E14" s="4">
        <v>2</v>
      </c>
      <c r="F14" s="4">
        <v>137340</v>
      </c>
      <c r="G14" s="4">
        <f t="shared" si="0"/>
        <v>2052940</v>
      </c>
    </row>
    <row r="15" spans="1:7" outlineLevel="3">
      <c r="A15" s="1" t="s">
        <v>119</v>
      </c>
      <c r="B15" s="1" t="s">
        <v>120</v>
      </c>
      <c r="C15" s="1" t="s">
        <v>96</v>
      </c>
      <c r="D15" s="4">
        <v>1897800</v>
      </c>
      <c r="E15" s="4">
        <v>1</v>
      </c>
      <c r="F15" s="4">
        <v>134670</v>
      </c>
      <c r="G15" s="4">
        <f t="shared" si="0"/>
        <v>2032470</v>
      </c>
    </row>
    <row r="16" spans="1:7" outlineLevel="3">
      <c r="A16" s="1" t="s">
        <v>121</v>
      </c>
      <c r="B16" s="1" t="s">
        <v>122</v>
      </c>
      <c r="C16" s="1" t="s">
        <v>96</v>
      </c>
      <c r="D16" s="4">
        <v>1945200</v>
      </c>
      <c r="E16" s="4">
        <v>2</v>
      </c>
      <c r="F16" s="4">
        <v>141780</v>
      </c>
      <c r="G16" s="4">
        <f t="shared" si="0"/>
        <v>2086980</v>
      </c>
    </row>
    <row r="17" spans="1:7" outlineLevel="3">
      <c r="A17" s="1" t="s">
        <v>123</v>
      </c>
      <c r="B17" s="1" t="s">
        <v>124</v>
      </c>
      <c r="C17" s="1" t="s">
        <v>96</v>
      </c>
      <c r="D17" s="4">
        <v>1912500</v>
      </c>
      <c r="E17" s="4">
        <v>2</v>
      </c>
      <c r="F17" s="4">
        <v>136875</v>
      </c>
      <c r="G17" s="4">
        <f t="shared" si="0"/>
        <v>2049375</v>
      </c>
    </row>
    <row r="18" spans="1:7" outlineLevel="3">
      <c r="A18" s="1" t="s">
        <v>125</v>
      </c>
      <c r="B18" s="1" t="s">
        <v>126</v>
      </c>
      <c r="C18" s="1" t="s">
        <v>96</v>
      </c>
      <c r="D18" s="4">
        <v>1890000</v>
      </c>
      <c r="E18" s="4">
        <v>1</v>
      </c>
      <c r="F18" s="4">
        <v>133500</v>
      </c>
      <c r="G18" s="4">
        <f t="shared" si="0"/>
        <v>2023500</v>
      </c>
    </row>
    <row r="19" spans="1:7" outlineLevel="2">
      <c r="A19" s="54"/>
      <c r="B19" s="54"/>
      <c r="C19" s="19" t="s">
        <v>286</v>
      </c>
      <c r="D19" s="4"/>
      <c r="E19" s="4"/>
      <c r="F19" s="4"/>
      <c r="G19" s="4">
        <f>SUBTOTAL(4,G11:G18)</f>
        <v>2920250</v>
      </c>
    </row>
    <row r="20" spans="1:7" outlineLevel="1">
      <c r="A20" s="54"/>
      <c r="B20" s="54"/>
      <c r="C20" s="19" t="s">
        <v>178</v>
      </c>
      <c r="D20" s="4">
        <f>SUBTOTAL(1,D11:D18)</f>
        <v>2109475</v>
      </c>
      <c r="E20" s="4"/>
      <c r="F20" s="4">
        <f>SUBTOTAL(1,F11:F18)</f>
        <v>147671.25</v>
      </c>
      <c r="G20" s="4"/>
    </row>
    <row r="21" spans="1:7" outlineLevel="3">
      <c r="A21" s="1" t="s">
        <v>79</v>
      </c>
      <c r="B21" s="1" t="s">
        <v>80</v>
      </c>
      <c r="C21" s="1" t="s">
        <v>81</v>
      </c>
      <c r="D21" s="4">
        <v>2403600</v>
      </c>
      <c r="E21" s="4">
        <v>4</v>
      </c>
      <c r="F21" s="4">
        <v>135540</v>
      </c>
      <c r="G21" s="4">
        <f>D21+F21</f>
        <v>2539140</v>
      </c>
    </row>
    <row r="22" spans="1:7" outlineLevel="3">
      <c r="A22" s="1" t="s">
        <v>82</v>
      </c>
      <c r="B22" s="1" t="s">
        <v>83</v>
      </c>
      <c r="C22" s="1" t="s">
        <v>81</v>
      </c>
      <c r="D22" s="4">
        <v>1985600</v>
      </c>
      <c r="E22" s="4">
        <v>2</v>
      </c>
      <c r="F22" s="4">
        <v>147840</v>
      </c>
      <c r="G22" s="4">
        <f>D22+F22</f>
        <v>2133440</v>
      </c>
    </row>
    <row r="23" spans="1:7" outlineLevel="3">
      <c r="A23" s="1" t="s">
        <v>84</v>
      </c>
      <c r="B23" s="1" t="s">
        <v>85</v>
      </c>
      <c r="C23" s="1" t="s">
        <v>81</v>
      </c>
      <c r="D23" s="4">
        <v>2395600</v>
      </c>
      <c r="E23" s="4">
        <v>4</v>
      </c>
      <c r="F23" s="4">
        <v>134340</v>
      </c>
      <c r="G23" s="4">
        <f>D23+F23</f>
        <v>2529940</v>
      </c>
    </row>
    <row r="24" spans="1:7" outlineLevel="2">
      <c r="A24" s="54"/>
      <c r="B24" s="54"/>
      <c r="C24" s="19" t="s">
        <v>287</v>
      </c>
      <c r="D24" s="4"/>
      <c r="E24" s="4"/>
      <c r="F24" s="4"/>
      <c r="G24" s="4">
        <f>SUBTOTAL(4,G21:G23)</f>
        <v>2539140</v>
      </c>
    </row>
    <row r="25" spans="1:7" outlineLevel="1">
      <c r="A25" s="54"/>
      <c r="B25" s="54"/>
      <c r="C25" s="19" t="s">
        <v>179</v>
      </c>
      <c r="D25" s="4">
        <f>SUBTOTAL(1,D21:D23)</f>
        <v>2261600</v>
      </c>
      <c r="E25" s="4"/>
      <c r="F25" s="4">
        <f>SUBTOTAL(1,F21:F23)</f>
        <v>139240</v>
      </c>
      <c r="G25" s="4"/>
    </row>
    <row r="26" spans="1:7" outlineLevel="3">
      <c r="A26" s="1" t="s">
        <v>86</v>
      </c>
      <c r="B26" s="1" t="s">
        <v>87</v>
      </c>
      <c r="C26" s="1" t="s">
        <v>88</v>
      </c>
      <c r="D26" s="4">
        <v>2403600</v>
      </c>
      <c r="E26" s="4">
        <v>4</v>
      </c>
      <c r="F26" s="4">
        <v>135540</v>
      </c>
      <c r="G26" s="4">
        <f t="shared" ref="G26:G33" si="1">D26+F26</f>
        <v>2539140</v>
      </c>
    </row>
    <row r="27" spans="1:7" outlineLevel="3">
      <c r="A27" s="1" t="s">
        <v>92</v>
      </c>
      <c r="B27" s="1" t="s">
        <v>93</v>
      </c>
      <c r="C27" s="1" t="s">
        <v>88</v>
      </c>
      <c r="D27" s="4">
        <v>2256000</v>
      </c>
      <c r="E27" s="4">
        <v>3</v>
      </c>
      <c r="F27" s="4">
        <v>188400</v>
      </c>
      <c r="G27" s="4">
        <f t="shared" si="1"/>
        <v>2444400</v>
      </c>
    </row>
    <row r="28" spans="1:7" outlineLevel="3">
      <c r="A28" s="1" t="s">
        <v>97</v>
      </c>
      <c r="B28" s="1" t="s">
        <v>98</v>
      </c>
      <c r="C28" s="1" t="s">
        <v>88</v>
      </c>
      <c r="D28" s="4">
        <v>1985200</v>
      </c>
      <c r="E28" s="4">
        <v>3</v>
      </c>
      <c r="F28" s="4">
        <v>147780</v>
      </c>
      <c r="G28" s="4">
        <f t="shared" si="1"/>
        <v>2132980</v>
      </c>
    </row>
    <row r="29" spans="1:7" outlineLevel="3">
      <c r="A29" s="1" t="s">
        <v>101</v>
      </c>
      <c r="B29" s="1" t="s">
        <v>102</v>
      </c>
      <c r="C29" s="1" t="s">
        <v>88</v>
      </c>
      <c r="D29" s="4">
        <v>2650000</v>
      </c>
      <c r="E29" s="4">
        <v>5</v>
      </c>
      <c r="F29" s="4">
        <v>172500</v>
      </c>
      <c r="G29" s="4">
        <f t="shared" si="1"/>
        <v>2822500</v>
      </c>
    </row>
    <row r="30" spans="1:7" outlineLevel="3">
      <c r="A30" s="1" t="s">
        <v>103</v>
      </c>
      <c r="B30" s="1" t="s">
        <v>104</v>
      </c>
      <c r="C30" s="1" t="s">
        <v>88</v>
      </c>
      <c r="D30" s="4">
        <v>2498500</v>
      </c>
      <c r="E30" s="4">
        <v>5</v>
      </c>
      <c r="F30" s="4">
        <v>149775</v>
      </c>
      <c r="G30" s="4">
        <f t="shared" si="1"/>
        <v>2648275</v>
      </c>
    </row>
    <row r="31" spans="1:7" outlineLevel="3">
      <c r="A31" s="1" t="s">
        <v>109</v>
      </c>
      <c r="B31" s="1" t="s">
        <v>110</v>
      </c>
      <c r="C31" s="1" t="s">
        <v>88</v>
      </c>
      <c r="D31" s="4">
        <v>2120000</v>
      </c>
      <c r="E31" s="4">
        <v>3</v>
      </c>
      <c r="F31" s="4">
        <v>168000</v>
      </c>
      <c r="G31" s="4">
        <f t="shared" si="1"/>
        <v>2288000</v>
      </c>
    </row>
    <row r="32" spans="1:7" outlineLevel="3">
      <c r="A32" s="1" t="s">
        <v>111</v>
      </c>
      <c r="B32" s="1" t="s">
        <v>112</v>
      </c>
      <c r="C32" s="1" t="s">
        <v>88</v>
      </c>
      <c r="D32" s="4">
        <v>2565900</v>
      </c>
      <c r="E32" s="4">
        <v>4</v>
      </c>
      <c r="F32" s="4">
        <v>159885</v>
      </c>
      <c r="G32" s="4">
        <f t="shared" si="1"/>
        <v>2725785</v>
      </c>
    </row>
    <row r="33" spans="1:7" outlineLevel="3">
      <c r="A33" s="1" t="s">
        <v>129</v>
      </c>
      <c r="B33" s="1" t="s">
        <v>130</v>
      </c>
      <c r="C33" s="1" t="s">
        <v>88</v>
      </c>
      <c r="D33" s="4">
        <v>2058200</v>
      </c>
      <c r="E33" s="4">
        <v>3</v>
      </c>
      <c r="F33" s="4">
        <v>158730</v>
      </c>
      <c r="G33" s="4">
        <f t="shared" si="1"/>
        <v>2216930</v>
      </c>
    </row>
    <row r="34" spans="1:7" outlineLevel="2">
      <c r="A34" s="20"/>
      <c r="B34" s="20"/>
      <c r="C34" s="22" t="s">
        <v>288</v>
      </c>
      <c r="D34" s="21"/>
      <c r="E34" s="21"/>
      <c r="F34" s="21"/>
      <c r="G34" s="21">
        <f>SUBTOTAL(4,G26:G33)</f>
        <v>2822500</v>
      </c>
    </row>
    <row r="35" spans="1:7" outlineLevel="1">
      <c r="A35" s="20"/>
      <c r="B35" s="20"/>
      <c r="C35" s="22" t="s">
        <v>180</v>
      </c>
      <c r="D35" s="21">
        <f>SUBTOTAL(1,D26:D33)</f>
        <v>2317175</v>
      </c>
      <c r="E35" s="21"/>
      <c r="F35" s="21">
        <f>SUBTOTAL(1,F26:F33)</f>
        <v>160076.25</v>
      </c>
      <c r="G35" s="21"/>
    </row>
    <row r="36" spans="1:7">
      <c r="A36" s="20"/>
      <c r="B36" s="20"/>
      <c r="C36" s="22" t="s">
        <v>182</v>
      </c>
      <c r="D36" s="21"/>
      <c r="E36" s="21"/>
      <c r="F36" s="21"/>
      <c r="G36" s="21">
        <f>SUBTOTAL(4,G4:G33)</f>
        <v>2920250</v>
      </c>
    </row>
    <row r="37" spans="1:7">
      <c r="A37" s="20"/>
      <c r="B37" s="20"/>
      <c r="C37" s="22" t="s">
        <v>181</v>
      </c>
      <c r="D37" s="21">
        <f>SUBTOTAL(1,D4:D33)</f>
        <v>2190657.9166666665</v>
      </c>
      <c r="E37" s="21"/>
      <c r="F37" s="21">
        <f>SUBTOTAL(1,F4:F33)</f>
        <v>159763.33333333334</v>
      </c>
      <c r="G37" s="21"/>
    </row>
  </sheetData>
  <sortState xmlns:xlrd2="http://schemas.microsoft.com/office/spreadsheetml/2017/richdata2" ref="A4:G27">
    <sortCondition descending="1" ref="C3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9"/>
  <sheetViews>
    <sheetView workbookViewId="0"/>
  </sheetViews>
  <sheetFormatPr defaultRowHeight="17"/>
  <cols>
    <col min="1" max="1" width="17" customWidth="1"/>
    <col min="2" max="2" width="11.4140625" customWidth="1"/>
    <col min="3" max="3" width="12.33203125" customWidth="1"/>
    <col min="4" max="4" width="9.58203125" bestFit="1" customWidth="1"/>
    <col min="5" max="5" width="8.6640625" customWidth="1"/>
    <col min="6" max="6" width="13.5" customWidth="1"/>
    <col min="7" max="7" width="10.58203125" bestFit="1" customWidth="1"/>
    <col min="8" max="8" width="17.1640625" bestFit="1" customWidth="1"/>
    <col min="9" max="9" width="11.4140625" bestFit="1" customWidth="1"/>
    <col min="10" max="10" width="12.33203125" bestFit="1" customWidth="1"/>
    <col min="11" max="12" width="8.9140625" bestFit="1" customWidth="1"/>
    <col min="13" max="13" width="13.5" bestFit="1" customWidth="1"/>
    <col min="14" max="14" width="10.58203125" bestFit="1" customWidth="1"/>
    <col min="15" max="15" width="12.5" bestFit="1" customWidth="1"/>
    <col min="16" max="16" width="10.58203125" bestFit="1" customWidth="1"/>
    <col min="17" max="17" width="17.1640625" bestFit="1" customWidth="1"/>
    <col min="18" max="18" width="15.1640625" bestFit="1" customWidth="1"/>
  </cols>
  <sheetData>
    <row r="1" spans="1:8">
      <c r="A1" t="s">
        <v>176</v>
      </c>
    </row>
    <row r="3" spans="1:8">
      <c r="A3" s="1" t="s">
        <v>132</v>
      </c>
      <c r="B3" s="1" t="s">
        <v>133</v>
      </c>
      <c r="C3" s="1" t="s">
        <v>134</v>
      </c>
      <c r="D3" s="1" t="s">
        <v>135</v>
      </c>
      <c r="E3" s="1" t="s">
        <v>136</v>
      </c>
      <c r="F3" s="1" t="s">
        <v>137</v>
      </c>
      <c r="G3" s="1" t="s">
        <v>138</v>
      </c>
      <c r="H3" s="1" t="s">
        <v>139</v>
      </c>
    </row>
    <row r="4" spans="1:8">
      <c r="A4" s="1" t="s">
        <v>140</v>
      </c>
      <c r="B4" s="1" t="s">
        <v>141</v>
      </c>
      <c r="C4" s="1" t="s">
        <v>142</v>
      </c>
      <c r="D4" s="5">
        <v>2300000</v>
      </c>
      <c r="E4" s="5">
        <v>228000</v>
      </c>
      <c r="F4" s="6">
        <v>2</v>
      </c>
      <c r="G4" s="5">
        <v>90000</v>
      </c>
      <c r="H4" s="5">
        <v>100000</v>
      </c>
    </row>
    <row r="5" spans="1:8">
      <c r="A5" s="1" t="s">
        <v>143</v>
      </c>
      <c r="B5" s="1" t="s">
        <v>144</v>
      </c>
      <c r="C5" s="1" t="s">
        <v>145</v>
      </c>
      <c r="D5" s="5">
        <v>3300000</v>
      </c>
      <c r="E5" s="5">
        <v>460000</v>
      </c>
      <c r="F5" s="6">
        <v>3</v>
      </c>
      <c r="G5" s="5">
        <v>120000</v>
      </c>
      <c r="H5" s="5">
        <v>120000</v>
      </c>
    </row>
    <row r="6" spans="1:8">
      <c r="A6" s="1" t="s">
        <v>146</v>
      </c>
      <c r="B6" s="1" t="s">
        <v>147</v>
      </c>
      <c r="C6" s="1" t="s">
        <v>148</v>
      </c>
      <c r="D6" s="5">
        <v>3700000</v>
      </c>
      <c r="E6" s="5">
        <v>280000</v>
      </c>
      <c r="F6" s="6" t="s">
        <v>149</v>
      </c>
      <c r="G6" s="5">
        <v>90000</v>
      </c>
      <c r="H6" s="5">
        <v>60000</v>
      </c>
    </row>
    <row r="7" spans="1:8">
      <c r="A7" s="1" t="s">
        <v>150</v>
      </c>
      <c r="B7" s="1" t="s">
        <v>151</v>
      </c>
      <c r="C7" s="1" t="s">
        <v>152</v>
      </c>
      <c r="D7" s="5">
        <v>2300000</v>
      </c>
      <c r="E7" s="5">
        <v>240000</v>
      </c>
      <c r="F7" s="6">
        <v>4</v>
      </c>
      <c r="G7" s="5">
        <v>150000</v>
      </c>
      <c r="H7" s="5">
        <v>60000</v>
      </c>
    </row>
    <row r="8" spans="1:8">
      <c r="A8" s="1" t="s">
        <v>153</v>
      </c>
      <c r="B8" s="1" t="s">
        <v>144</v>
      </c>
      <c r="C8" s="1" t="s">
        <v>154</v>
      </c>
      <c r="D8" s="5">
        <v>2900000</v>
      </c>
      <c r="E8" s="5">
        <v>280000</v>
      </c>
      <c r="F8" s="6">
        <v>2</v>
      </c>
      <c r="G8" s="5">
        <v>60000</v>
      </c>
      <c r="H8" s="5">
        <v>130000</v>
      </c>
    </row>
    <row r="9" spans="1:8">
      <c r="A9" s="1" t="s">
        <v>155</v>
      </c>
      <c r="B9" s="1" t="s">
        <v>156</v>
      </c>
      <c r="C9" s="1" t="s">
        <v>157</v>
      </c>
      <c r="D9" s="5">
        <v>3600000</v>
      </c>
      <c r="E9" s="5">
        <v>200000</v>
      </c>
      <c r="F9" s="6" t="s">
        <v>149</v>
      </c>
      <c r="G9" s="5">
        <v>140000</v>
      </c>
      <c r="H9" s="5">
        <v>50000</v>
      </c>
    </row>
    <row r="10" spans="1:8">
      <c r="A10" s="1" t="s">
        <v>158</v>
      </c>
      <c r="B10" s="1" t="s">
        <v>141</v>
      </c>
      <c r="C10" s="1" t="s">
        <v>148</v>
      </c>
      <c r="D10" s="5">
        <v>2200000</v>
      </c>
      <c r="E10" s="5">
        <v>446000</v>
      </c>
      <c r="F10" s="6">
        <v>5</v>
      </c>
      <c r="G10" s="5">
        <v>100000</v>
      </c>
      <c r="H10" s="5">
        <v>50000</v>
      </c>
    </row>
    <row r="11" spans="1:8">
      <c r="A11" s="1" t="s">
        <v>159</v>
      </c>
      <c r="B11" s="1" t="s">
        <v>151</v>
      </c>
      <c r="C11" s="1" t="s">
        <v>142</v>
      </c>
      <c r="D11" s="5">
        <v>3600000</v>
      </c>
      <c r="E11" s="5">
        <v>228000</v>
      </c>
      <c r="F11" s="6">
        <v>2</v>
      </c>
      <c r="G11" s="5">
        <v>150000</v>
      </c>
      <c r="H11" s="5">
        <v>80000</v>
      </c>
    </row>
    <row r="12" spans="1:8">
      <c r="A12" s="1" t="s">
        <v>160</v>
      </c>
      <c r="B12" s="1" t="s">
        <v>141</v>
      </c>
      <c r="C12" s="1" t="s">
        <v>142</v>
      </c>
      <c r="D12" s="5">
        <v>2900000</v>
      </c>
      <c r="E12" s="5">
        <v>260000</v>
      </c>
      <c r="F12" s="6">
        <v>6</v>
      </c>
      <c r="G12" s="5">
        <v>90000</v>
      </c>
      <c r="H12" s="5">
        <v>70000</v>
      </c>
    </row>
    <row r="13" spans="1:8">
      <c r="A13" s="1" t="s">
        <v>161</v>
      </c>
      <c r="B13" s="1" t="s">
        <v>151</v>
      </c>
      <c r="C13" s="1" t="s">
        <v>157</v>
      </c>
      <c r="D13" s="5">
        <v>1600000</v>
      </c>
      <c r="E13" s="5">
        <v>246000</v>
      </c>
      <c r="F13" s="6" t="s">
        <v>149</v>
      </c>
      <c r="G13" s="5">
        <v>150000</v>
      </c>
      <c r="H13" s="5">
        <v>90000</v>
      </c>
    </row>
    <row r="14" spans="1:8">
      <c r="A14" s="1" t="s">
        <v>162</v>
      </c>
      <c r="B14" s="1" t="s">
        <v>141</v>
      </c>
      <c r="C14" s="1" t="s">
        <v>157</v>
      </c>
      <c r="D14" s="5">
        <v>2000000</v>
      </c>
      <c r="E14" s="5">
        <v>228000</v>
      </c>
      <c r="F14" s="6">
        <v>5</v>
      </c>
      <c r="G14" s="5">
        <v>70000</v>
      </c>
      <c r="H14" s="5">
        <v>50000</v>
      </c>
    </row>
    <row r="15" spans="1:8">
      <c r="A15" s="1" t="s">
        <v>163</v>
      </c>
      <c r="B15" s="1" t="s">
        <v>151</v>
      </c>
      <c r="C15" s="1" t="s">
        <v>157</v>
      </c>
      <c r="D15" s="5">
        <v>1700000</v>
      </c>
      <c r="E15" s="5">
        <v>440000</v>
      </c>
      <c r="F15" s="6">
        <v>3</v>
      </c>
      <c r="G15" s="5">
        <v>90000</v>
      </c>
      <c r="H15" s="5">
        <v>130000</v>
      </c>
    </row>
    <row r="16" spans="1:8">
      <c r="A16" s="1" t="s">
        <v>164</v>
      </c>
      <c r="B16" s="1" t="s">
        <v>151</v>
      </c>
      <c r="C16" s="1" t="s">
        <v>142</v>
      </c>
      <c r="D16" s="5">
        <v>3600000</v>
      </c>
      <c r="E16" s="5">
        <v>428000</v>
      </c>
      <c r="F16" s="6">
        <v>2</v>
      </c>
      <c r="G16" s="5">
        <v>90000</v>
      </c>
      <c r="H16" s="7">
        <v>110000</v>
      </c>
    </row>
    <row r="17" spans="1:8">
      <c r="A17" s="1" t="s">
        <v>165</v>
      </c>
      <c r="B17" s="1" t="s">
        <v>151</v>
      </c>
      <c r="C17" s="1" t="s">
        <v>152</v>
      </c>
      <c r="D17" s="5">
        <v>1600000</v>
      </c>
      <c r="E17" s="5">
        <v>228000</v>
      </c>
      <c r="F17" s="6" t="s">
        <v>166</v>
      </c>
      <c r="G17" s="5">
        <v>90000</v>
      </c>
      <c r="H17" s="5">
        <v>120000</v>
      </c>
    </row>
    <row r="18" spans="1:8">
      <c r="A18" s="1" t="s">
        <v>167</v>
      </c>
      <c r="B18" s="1" t="s">
        <v>147</v>
      </c>
      <c r="C18" s="1" t="s">
        <v>157</v>
      </c>
      <c r="D18" s="5">
        <v>3300000</v>
      </c>
      <c r="E18" s="5">
        <v>220000</v>
      </c>
      <c r="F18" s="6">
        <v>8</v>
      </c>
      <c r="G18" s="5">
        <v>150000</v>
      </c>
      <c r="H18" s="5">
        <v>130000</v>
      </c>
    </row>
    <row r="19" spans="1:8">
      <c r="A19" s="1" t="s">
        <v>168</v>
      </c>
      <c r="B19" s="1" t="s">
        <v>151</v>
      </c>
      <c r="C19" s="1" t="s">
        <v>148</v>
      </c>
      <c r="D19" s="5">
        <v>2500000</v>
      </c>
      <c r="E19" s="5">
        <v>200000</v>
      </c>
      <c r="F19" s="6">
        <v>7</v>
      </c>
      <c r="G19" s="5">
        <v>60000</v>
      </c>
      <c r="H19" s="5">
        <v>100000</v>
      </c>
    </row>
    <row r="20" spans="1:8">
      <c r="A20" s="1" t="s">
        <v>169</v>
      </c>
      <c r="B20" s="1" t="s">
        <v>144</v>
      </c>
      <c r="C20" s="1" t="s">
        <v>152</v>
      </c>
      <c r="D20" s="5">
        <v>1900000</v>
      </c>
      <c r="E20" s="5">
        <v>270000</v>
      </c>
      <c r="F20" s="6" t="s">
        <v>149</v>
      </c>
      <c r="G20" s="5">
        <v>100000</v>
      </c>
      <c r="H20" s="5">
        <v>100000</v>
      </c>
    </row>
    <row r="21" spans="1:8">
      <c r="A21" s="1" t="s">
        <v>170</v>
      </c>
      <c r="B21" s="1" t="s">
        <v>144</v>
      </c>
      <c r="C21" s="1" t="s">
        <v>152</v>
      </c>
      <c r="D21" s="5">
        <v>2800000</v>
      </c>
      <c r="E21" s="5">
        <v>420000</v>
      </c>
      <c r="F21" s="6">
        <v>3</v>
      </c>
      <c r="G21" s="5">
        <v>150000</v>
      </c>
      <c r="H21" s="5">
        <v>60000</v>
      </c>
    </row>
    <row r="26" spans="1:8">
      <c r="B26" s="8" t="s">
        <v>172</v>
      </c>
    </row>
    <row r="27" spans="1:8">
      <c r="A27" s="8" t="s">
        <v>171</v>
      </c>
      <c r="B27" t="s">
        <v>151</v>
      </c>
      <c r="C27" t="s">
        <v>144</v>
      </c>
      <c r="D27" t="s">
        <v>173</v>
      </c>
      <c r="E27" t="s">
        <v>141</v>
      </c>
    </row>
    <row r="28" spans="1:8">
      <c r="A28" s="9" t="s">
        <v>148</v>
      </c>
      <c r="B28" s="10"/>
      <c r="C28" s="10"/>
      <c r="D28" s="10"/>
      <c r="E28" s="10"/>
    </row>
    <row r="29" spans="1:8">
      <c r="A29" s="11" t="s">
        <v>175</v>
      </c>
      <c r="B29" s="10">
        <v>2500000</v>
      </c>
      <c r="C29" s="10">
        <v>2900000</v>
      </c>
      <c r="D29" s="10">
        <v>3700000</v>
      </c>
      <c r="E29" s="10">
        <v>2200000</v>
      </c>
    </row>
    <row r="30" spans="1:8">
      <c r="A30" s="11" t="s">
        <v>174</v>
      </c>
      <c r="B30" s="10">
        <v>200000</v>
      </c>
      <c r="C30" s="10">
        <v>280000</v>
      </c>
      <c r="D30" s="10">
        <v>280000</v>
      </c>
      <c r="E30" s="10">
        <v>446000</v>
      </c>
    </row>
    <row r="31" spans="1:8">
      <c r="A31" s="9" t="s">
        <v>142</v>
      </c>
      <c r="B31" s="10"/>
      <c r="C31" s="10"/>
      <c r="D31" s="10"/>
      <c r="E31" s="10"/>
    </row>
    <row r="32" spans="1:8">
      <c r="A32" s="11" t="s">
        <v>175</v>
      </c>
      <c r="B32" s="10">
        <v>3600000</v>
      </c>
      <c r="C32" s="10"/>
      <c r="D32" s="10"/>
      <c r="E32" s="10">
        <v>2600000</v>
      </c>
    </row>
    <row r="33" spans="1:5">
      <c r="A33" s="11" t="s">
        <v>174</v>
      </c>
      <c r="B33" s="10">
        <v>656000</v>
      </c>
      <c r="C33" s="10"/>
      <c r="D33" s="10"/>
      <c r="E33" s="10">
        <v>488000</v>
      </c>
    </row>
    <row r="34" spans="1:5">
      <c r="A34" s="9" t="s">
        <v>157</v>
      </c>
      <c r="B34" s="10"/>
      <c r="C34" s="10"/>
      <c r="D34" s="10"/>
      <c r="E34" s="10"/>
    </row>
    <row r="35" spans="1:5">
      <c r="A35" s="11" t="s">
        <v>175</v>
      </c>
      <c r="B35" s="10">
        <v>2300000</v>
      </c>
      <c r="C35" s="10"/>
      <c r="D35" s="10">
        <v>3300000</v>
      </c>
      <c r="E35" s="10">
        <v>2000000</v>
      </c>
    </row>
    <row r="36" spans="1:5">
      <c r="A36" s="11" t="s">
        <v>174</v>
      </c>
      <c r="B36" s="10">
        <v>886000</v>
      </c>
      <c r="C36" s="10"/>
      <c r="D36" s="10">
        <v>220000</v>
      </c>
      <c r="E36" s="10">
        <v>228000</v>
      </c>
    </row>
    <row r="37" spans="1:5">
      <c r="A37" s="9" t="s">
        <v>152</v>
      </c>
      <c r="B37" s="10"/>
      <c r="C37" s="10"/>
      <c r="D37" s="10"/>
      <c r="E37" s="10"/>
    </row>
    <row r="38" spans="1:5">
      <c r="A38" s="11" t="s">
        <v>175</v>
      </c>
      <c r="B38" s="10">
        <v>1950000</v>
      </c>
      <c r="C38" s="10">
        <v>2666666.6666666665</v>
      </c>
      <c r="D38" s="10"/>
      <c r="E38" s="10"/>
    </row>
    <row r="39" spans="1:5">
      <c r="A39" s="11" t="s">
        <v>174</v>
      </c>
      <c r="B39" s="10">
        <v>468000</v>
      </c>
      <c r="C39" s="10">
        <v>1150000</v>
      </c>
      <c r="D39" s="10"/>
      <c r="E39" s="1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2"/>
  <sheetViews>
    <sheetView workbookViewId="0">
      <selection activeCell="L34" sqref="L34"/>
    </sheetView>
  </sheetViews>
  <sheetFormatPr defaultRowHeight="17"/>
  <cols>
    <col min="2" max="2" width="8.83203125" bestFit="1" customWidth="1"/>
    <col min="3" max="3" width="10.75" bestFit="1" customWidth="1"/>
    <col min="4" max="4" width="10.58203125" bestFit="1" customWidth="1"/>
    <col min="5" max="5" width="10.75" bestFit="1" customWidth="1"/>
  </cols>
  <sheetData>
    <row r="1" spans="1:5" ht="21">
      <c r="A1" s="69" t="s">
        <v>59</v>
      </c>
      <c r="B1" s="69"/>
      <c r="C1" s="69"/>
      <c r="D1" s="69"/>
      <c r="E1" s="69"/>
    </row>
    <row r="3" spans="1:5">
      <c r="A3" s="1" t="s">
        <v>45</v>
      </c>
      <c r="B3" s="1" t="s">
        <v>49</v>
      </c>
      <c r="C3" s="1" t="s">
        <v>46</v>
      </c>
      <c r="D3" s="1" t="s">
        <v>47</v>
      </c>
      <c r="E3" s="1" t="s">
        <v>48</v>
      </c>
    </row>
    <row r="4" spans="1:5">
      <c r="A4" s="1" t="s">
        <v>50</v>
      </c>
      <c r="B4" s="4">
        <v>1995</v>
      </c>
      <c r="C4" s="4">
        <v>199500</v>
      </c>
      <c r="D4" s="4">
        <v>59850</v>
      </c>
      <c r="E4" s="4">
        <f>C4+D4</f>
        <v>259350</v>
      </c>
    </row>
    <row r="5" spans="1:5">
      <c r="A5" s="1" t="s">
        <v>51</v>
      </c>
      <c r="B5" s="4">
        <v>1000</v>
      </c>
      <c r="C5" s="4">
        <v>40000</v>
      </c>
      <c r="D5" s="4">
        <v>12000</v>
      </c>
      <c r="E5" s="4">
        <f t="shared" ref="E5:E12" si="0">C5+D5</f>
        <v>52000</v>
      </c>
    </row>
    <row r="6" spans="1:5">
      <c r="A6" s="1" t="s">
        <v>52</v>
      </c>
      <c r="B6" s="4">
        <v>980</v>
      </c>
      <c r="C6" s="4">
        <v>39200</v>
      </c>
      <c r="D6" s="4">
        <v>11760</v>
      </c>
      <c r="E6" s="4">
        <f t="shared" si="0"/>
        <v>50960</v>
      </c>
    </row>
    <row r="7" spans="1:5">
      <c r="A7" s="1" t="s">
        <v>53</v>
      </c>
      <c r="B7" s="4">
        <v>1150</v>
      </c>
      <c r="C7" s="4">
        <v>80500</v>
      </c>
      <c r="D7" s="4">
        <v>24150</v>
      </c>
      <c r="E7" s="4">
        <f t="shared" si="0"/>
        <v>104650</v>
      </c>
    </row>
    <row r="8" spans="1:5">
      <c r="A8" s="1" t="s">
        <v>54</v>
      </c>
      <c r="B8" s="4">
        <v>1500</v>
      </c>
      <c r="C8" s="4">
        <v>105000</v>
      </c>
      <c r="D8" s="4">
        <v>31500</v>
      </c>
      <c r="E8" s="4">
        <f t="shared" si="0"/>
        <v>136500</v>
      </c>
    </row>
    <row r="9" spans="1:5">
      <c r="A9" s="1" t="s">
        <v>55</v>
      </c>
      <c r="B9" s="4">
        <v>2000</v>
      </c>
      <c r="C9" s="4">
        <v>200000</v>
      </c>
      <c r="D9" s="4">
        <v>60000</v>
      </c>
      <c r="E9" s="4">
        <f t="shared" si="0"/>
        <v>260000</v>
      </c>
    </row>
    <row r="10" spans="1:5">
      <c r="A10" s="1" t="s">
        <v>56</v>
      </c>
      <c r="B10" s="4">
        <v>2500</v>
      </c>
      <c r="C10" s="4">
        <v>250000</v>
      </c>
      <c r="D10" s="4">
        <v>75000</v>
      </c>
      <c r="E10" s="4">
        <f t="shared" si="0"/>
        <v>325000</v>
      </c>
    </row>
    <row r="11" spans="1:5">
      <c r="A11" s="1" t="s">
        <v>57</v>
      </c>
      <c r="B11" s="4">
        <v>2150</v>
      </c>
      <c r="C11" s="4">
        <v>215000</v>
      </c>
      <c r="D11" s="4">
        <v>64500</v>
      </c>
      <c r="E11" s="4">
        <f t="shared" si="0"/>
        <v>279500</v>
      </c>
    </row>
    <row r="12" spans="1:5">
      <c r="A12" s="1" t="s">
        <v>58</v>
      </c>
      <c r="B12" s="4">
        <v>1890</v>
      </c>
      <c r="C12" s="4">
        <v>189000</v>
      </c>
      <c r="D12" s="4">
        <v>56700</v>
      </c>
      <c r="E12" s="4">
        <f t="shared" si="0"/>
        <v>245700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9"/>
  <sheetViews>
    <sheetView workbookViewId="0">
      <selection sqref="A1:E1"/>
    </sheetView>
  </sheetViews>
  <sheetFormatPr defaultRowHeight="17"/>
  <cols>
    <col min="1" max="1" width="10.4140625" bestFit="1" customWidth="1"/>
    <col min="5" max="5" width="9.08203125" bestFit="1" customWidth="1"/>
  </cols>
  <sheetData>
    <row r="1" spans="1:5" ht="21">
      <c r="A1" s="69" t="s">
        <v>71</v>
      </c>
      <c r="B1" s="69"/>
      <c r="C1" s="69"/>
      <c r="D1" s="69"/>
      <c r="E1" s="69"/>
    </row>
    <row r="3" spans="1:5">
      <c r="A3" s="1" t="s">
        <v>60</v>
      </c>
      <c r="B3" s="1" t="s">
        <v>66</v>
      </c>
      <c r="C3" s="1" t="s">
        <v>67</v>
      </c>
      <c r="D3" s="1" t="s">
        <v>68</v>
      </c>
      <c r="E3" s="1" t="s">
        <v>70</v>
      </c>
    </row>
    <row r="4" spans="1:5">
      <c r="A4" s="1" t="s">
        <v>63</v>
      </c>
      <c r="B4" s="4">
        <v>4791</v>
      </c>
      <c r="C4" s="4">
        <v>1558</v>
      </c>
      <c r="D4" s="4">
        <v>3233</v>
      </c>
      <c r="E4" s="3">
        <v>0.32500000000000001</v>
      </c>
    </row>
    <row r="5" spans="1:5">
      <c r="A5" s="1" t="s">
        <v>62</v>
      </c>
      <c r="B5" s="4">
        <v>9615</v>
      </c>
      <c r="C5" s="4">
        <v>3220</v>
      </c>
      <c r="D5" s="4">
        <v>6395</v>
      </c>
      <c r="E5" s="3">
        <v>0.33500000000000002</v>
      </c>
    </row>
    <row r="6" spans="1:5">
      <c r="A6" s="1" t="s">
        <v>61</v>
      </c>
      <c r="B6" s="4">
        <v>5936</v>
      </c>
      <c r="C6" s="4">
        <v>2325</v>
      </c>
      <c r="D6" s="4">
        <v>3611</v>
      </c>
      <c r="E6" s="3">
        <v>0.39200000000000002</v>
      </c>
    </row>
    <row r="7" spans="1:5">
      <c r="A7" s="1" t="s">
        <v>64</v>
      </c>
      <c r="B7" s="4">
        <v>9819</v>
      </c>
      <c r="C7" s="4">
        <v>4589</v>
      </c>
      <c r="D7" s="4">
        <v>5230</v>
      </c>
      <c r="E7" s="3">
        <v>0.46700000000000003</v>
      </c>
    </row>
    <row r="8" spans="1:5">
      <c r="A8" s="1" t="s">
        <v>65</v>
      </c>
      <c r="B8" s="4">
        <v>8549</v>
      </c>
      <c r="C8" s="4">
        <v>1007</v>
      </c>
      <c r="D8" s="4">
        <v>7542</v>
      </c>
      <c r="E8" s="3">
        <v>0.11799999999999999</v>
      </c>
    </row>
    <row r="9" spans="1:5">
      <c r="A9" s="1" t="s">
        <v>69</v>
      </c>
      <c r="B9" s="4">
        <v>6260</v>
      </c>
      <c r="C9" s="4">
        <v>4126</v>
      </c>
      <c r="D9" s="4">
        <v>2134</v>
      </c>
      <c r="E9" s="3">
        <v>0.65900000000000003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아파트합계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2022-05-16T11:39:34Z</dcterms:created>
  <dcterms:modified xsi:type="dcterms:W3CDTF">2023-04-14T03:32:18Z</dcterms:modified>
</cp:coreProperties>
</file>