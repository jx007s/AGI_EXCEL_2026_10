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출문제(1~2회)\"/>
    </mc:Choice>
  </mc:AlternateContent>
  <xr:revisionPtr revIDLastSave="0" documentId="13_ncr:1_{0A0AB575-6E47-4708-9626-3019AE6B9BC5}" xr6:coauthVersionLast="47" xr6:coauthVersionMax="47" xr10:uidLastSave="{00000000-0000-0000-0000-000000000000}"/>
  <bookViews>
    <workbookView xWindow="-50" yWindow="940" windowWidth="21150" windowHeight="14180" tabRatio="827" xr2:uid="{00000000-000D-0000-FFFF-FFFF00000000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시나리오 요약" sheetId="10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'기본작업-3'!$A$3:$F$13</definedName>
    <definedName name="_xlnm.Criteria" localSheetId="2">'기본작업-3'!$A$15:$B$17</definedName>
    <definedName name="_xlnm.Extract" localSheetId="2">'기본작업-3'!$A$19:$C$19</definedName>
    <definedName name="순이익율">'분석작업-2'!$I$4</definedName>
    <definedName name="순이익합계">'분석작업-2'!$G$16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F11" i="7"/>
  <c r="F3" i="7"/>
  <c r="I4" i="4"/>
  <c r="I5" i="4"/>
  <c r="I6" i="4"/>
  <c r="I7" i="4"/>
  <c r="I8" i="4"/>
  <c r="I9" i="4"/>
  <c r="I3" i="4"/>
  <c r="J4" i="4"/>
  <c r="J5" i="4"/>
  <c r="J6" i="4"/>
  <c r="J7" i="4"/>
  <c r="J8" i="4"/>
  <c r="J9" i="4"/>
  <c r="J3" i="4"/>
  <c r="G15" i="4"/>
  <c r="B12" i="4"/>
  <c r="C12" i="4"/>
  <c r="D12" i="4"/>
  <c r="E12" i="4"/>
  <c r="G12" i="4"/>
  <c r="C8" i="8" l="1"/>
  <c r="D8" i="8"/>
  <c r="E8" i="8"/>
  <c r="F8" i="8"/>
  <c r="G8" i="8"/>
  <c r="H8" i="8"/>
  <c r="I8" i="8"/>
  <c r="B8" i="8"/>
  <c r="I5" i="8"/>
  <c r="I6" i="8"/>
  <c r="I7" i="8"/>
  <c r="I4" i="8"/>
  <c r="E4" i="7"/>
  <c r="E5" i="7"/>
  <c r="E6" i="7"/>
  <c r="E7" i="7"/>
  <c r="E8" i="7"/>
  <c r="E9" i="7"/>
  <c r="E10" i="7"/>
  <c r="E11" i="7"/>
  <c r="E3" i="7"/>
  <c r="E16" i="6" l="1"/>
  <c r="D16" i="6"/>
  <c r="C16" i="6"/>
  <c r="F15" i="6"/>
  <c r="G15" i="6" s="1"/>
  <c r="F14" i="6"/>
  <c r="G14" i="6" s="1"/>
  <c r="F13" i="6"/>
  <c r="G13" i="6" s="1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G16" i="6" l="1"/>
  <c r="F16" i="6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4" i="9" l="1"/>
  <c r="G4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E071776B-3F7A-494C-A4DE-9F7D82DE5A75}">
      <text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위</t>
        </r>
      </text>
    </comment>
  </commentList>
</comments>
</file>

<file path=xl/sharedStrings.xml><?xml version="1.0" encoding="utf-8"?>
<sst xmlns="http://schemas.openxmlformats.org/spreadsheetml/2006/main" count="261" uniqueCount="189">
  <si>
    <t>초등역사체험</t>
    <phoneticPr fontId="1" type="noConversion"/>
  </si>
  <si>
    <t>실내썰매</t>
    <phoneticPr fontId="1" type="noConversion"/>
  </si>
  <si>
    <t>수목원 테마파크</t>
    <phoneticPr fontId="1" type="noConversion"/>
  </si>
  <si>
    <t>플루이드 아트 클래스</t>
    <phoneticPr fontId="1" type="noConversion"/>
  </si>
  <si>
    <t>백스코 상상체험 키즈월드</t>
    <phoneticPr fontId="1" type="noConversion"/>
  </si>
  <si>
    <t>킨텍스 상상체험 키즈월드</t>
    <phoneticPr fontId="1" type="noConversion"/>
  </si>
  <si>
    <t>테마/놀이동산</t>
    <phoneticPr fontId="1" type="noConversion"/>
  </si>
  <si>
    <t>액티비티 체험</t>
    <phoneticPr fontId="1" type="noConversion"/>
  </si>
  <si>
    <t>테마/놀이동산</t>
    <phoneticPr fontId="1" type="noConversion"/>
  </si>
  <si>
    <t>키즈런 퍼포먼스</t>
    <phoneticPr fontId="1" type="noConversion"/>
  </si>
  <si>
    <t>도예공방체험</t>
    <phoneticPr fontId="1" type="noConversion"/>
  </si>
  <si>
    <t>액티비티 체험</t>
    <phoneticPr fontId="1" type="noConversion"/>
  </si>
  <si>
    <t>분류</t>
    <phoneticPr fontId="1" type="noConversion"/>
  </si>
  <si>
    <t>어린이 체험 프로그램</t>
    <phoneticPr fontId="1" type="noConversion"/>
  </si>
  <si>
    <t>체험비</t>
    <phoneticPr fontId="1" type="noConversion"/>
  </si>
  <si>
    <t>체험명</t>
    <phoneticPr fontId="1" type="noConversion"/>
  </si>
  <si>
    <t>신청인원</t>
    <phoneticPr fontId="1" type="noConversion"/>
  </si>
  <si>
    <t>체험코드</t>
    <phoneticPr fontId="1" type="noConversion"/>
  </si>
  <si>
    <t>담당자</t>
    <phoneticPr fontId="1" type="noConversion"/>
  </si>
  <si>
    <t>TK-010</t>
    <phoneticPr fontId="1" type="noConversion"/>
  </si>
  <si>
    <t>AH-210</t>
    <phoneticPr fontId="1" type="noConversion"/>
  </si>
  <si>
    <t>TS-340</t>
    <phoneticPr fontId="1" type="noConversion"/>
  </si>
  <si>
    <t>TT-279</t>
    <phoneticPr fontId="1" type="noConversion"/>
  </si>
  <si>
    <t>AA-535</t>
    <phoneticPr fontId="1" type="noConversion"/>
  </si>
  <si>
    <t>AD-876</t>
    <phoneticPr fontId="1" type="noConversion"/>
  </si>
  <si>
    <t>TK-458</t>
    <phoneticPr fontId="1" type="noConversion"/>
  </si>
  <si>
    <t>AK-243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</si>
  <si>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</si>
  <si>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</si>
  <si>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</si>
  <si>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노인복지시설</t>
    <phoneticPr fontId="1" type="noConversion"/>
  </si>
  <si>
    <t>아동복지시설</t>
    <phoneticPr fontId="1" type="noConversion"/>
  </si>
  <si>
    <t>장애인복지시설</t>
    <phoneticPr fontId="1" type="noConversion"/>
  </si>
  <si>
    <t>노숙인시설</t>
    <phoneticPr fontId="1" type="noConversion"/>
  </si>
  <si>
    <t>지역자활센터</t>
    <phoneticPr fontId="1" type="noConversion"/>
  </si>
  <si>
    <t>보건복지부 종사자 현황</t>
    <phoneticPr fontId="1" type="noConversion"/>
  </si>
  <si>
    <t>인천</t>
    <phoneticPr fontId="1" type="noConversion"/>
  </si>
  <si>
    <t>충청</t>
    <phoneticPr fontId="1" type="noConversion"/>
  </si>
  <si>
    <t>경상</t>
    <phoneticPr fontId="1" type="noConversion"/>
  </si>
  <si>
    <t>강원</t>
    <phoneticPr fontId="1" type="noConversion"/>
  </si>
  <si>
    <t>제주</t>
    <phoneticPr fontId="1" type="noConversion"/>
  </si>
  <si>
    <t>대전</t>
    <phoneticPr fontId="1" type="noConversion"/>
  </si>
  <si>
    <t>대구</t>
    <phoneticPr fontId="1" type="noConversion"/>
  </si>
  <si>
    <t>광주</t>
    <phoneticPr fontId="1" type="noConversion"/>
  </si>
  <si>
    <t>30큐브용</t>
    <phoneticPr fontId="1" type="noConversion"/>
  </si>
  <si>
    <t>안핑크 LED 어항 조명</t>
    <phoneticPr fontId="1" type="noConversion"/>
  </si>
  <si>
    <t>기본세트</t>
    <phoneticPr fontId="1" type="noConversion"/>
  </si>
  <si>
    <t>거북이수족관</t>
    <phoneticPr fontId="1" type="noConversion"/>
  </si>
  <si>
    <t>관상어</t>
    <phoneticPr fontId="1" type="noConversion"/>
  </si>
  <si>
    <t>100g x 5팩</t>
    <phoneticPr fontId="1" type="noConversion"/>
  </si>
  <si>
    <t>무무 스테이크</t>
    <phoneticPr fontId="1" type="noConversion"/>
  </si>
  <si>
    <t>8.7kg</t>
    <phoneticPr fontId="1" type="noConversion"/>
  </si>
  <si>
    <t>미니 인도어 어덜트</t>
    <phoneticPr fontId="1" type="noConversion"/>
  </si>
  <si>
    <t>20g x 400매</t>
    <phoneticPr fontId="1" type="noConversion"/>
  </si>
  <si>
    <t>애견패드</t>
    <phoneticPr fontId="1" type="noConversion"/>
  </si>
  <si>
    <t>강아지용품</t>
    <phoneticPr fontId="1" type="noConversion"/>
  </si>
  <si>
    <t>7L x 6</t>
    <phoneticPr fontId="1" type="noConversion"/>
  </si>
  <si>
    <t>두부두부 고양이모래</t>
    <phoneticPr fontId="1" type="noConversion"/>
  </si>
  <si>
    <t>2kg</t>
    <phoneticPr fontId="1" type="noConversion"/>
  </si>
  <si>
    <t>로얄캐닌 키튼</t>
    <phoneticPr fontId="1" type="noConversion"/>
  </si>
  <si>
    <t>10개</t>
    <phoneticPr fontId="1" type="noConversion"/>
  </si>
  <si>
    <t>짜먹는 츄르</t>
    <phoneticPr fontId="1" type="noConversion"/>
  </si>
  <si>
    <t>고양이용품</t>
    <phoneticPr fontId="1" type="noConversion"/>
  </si>
  <si>
    <t>순위</t>
    <phoneticPr fontId="1" type="noConversion"/>
  </si>
  <si>
    <t>총액</t>
    <phoneticPr fontId="1" type="noConversion"/>
  </si>
  <si>
    <t>판매량</t>
    <phoneticPr fontId="1" type="noConversion"/>
  </si>
  <si>
    <t>판매가</t>
    <phoneticPr fontId="1" type="noConversion"/>
  </si>
  <si>
    <t>단위</t>
    <phoneticPr fontId="1" type="noConversion"/>
  </si>
  <si>
    <t>상품명</t>
    <phoneticPr fontId="1" type="noConversion"/>
  </si>
  <si>
    <t>반려동물용품 판매 현황</t>
    <phoneticPr fontId="1" type="noConversion"/>
  </si>
  <si>
    <t>제품 생산현황</t>
  </si>
  <si>
    <t>제품코드</t>
    <phoneticPr fontId="1" type="noConversion"/>
  </si>
  <si>
    <t>생산공장</t>
    <phoneticPr fontId="1" type="noConversion"/>
  </si>
  <si>
    <t>목표수량</t>
    <phoneticPr fontId="1" type="noConversion"/>
  </si>
  <si>
    <t>생산수량</t>
    <phoneticPr fontId="1" type="noConversion"/>
  </si>
  <si>
    <t>불량수량</t>
    <phoneticPr fontId="1" type="noConversion"/>
  </si>
  <si>
    <t>불량률</t>
    <phoneticPr fontId="1" type="noConversion"/>
  </si>
  <si>
    <t>ANS-001</t>
  </si>
  <si>
    <t>안산</t>
  </si>
  <si>
    <t>POT-001</t>
  </si>
  <si>
    <t>평택</t>
  </si>
  <si>
    <t>POT-002</t>
  </si>
  <si>
    <t>ANS-002</t>
  </si>
  <si>
    <t>ANS-001</t>
    <phoneticPr fontId="1" type="noConversion"/>
  </si>
  <si>
    <t>가전제품 판매현황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</si>
  <si>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</si>
  <si>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</si>
  <si>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</si>
  <si>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</si>
  <si>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</si>
  <si>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</si>
  <si>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</si>
  <si>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</si>
  <si>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</si>
  <si>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도곡점</t>
    <phoneticPr fontId="1" type="noConversion"/>
  </si>
  <si>
    <t>냉장고</t>
  </si>
  <si>
    <t>세탁기</t>
  </si>
  <si>
    <t>TV</t>
  </si>
  <si>
    <t>건조기</t>
  </si>
  <si>
    <t>서초본점</t>
    <phoneticPr fontId="1" type="noConversion"/>
  </si>
  <si>
    <t>방배점</t>
    <phoneticPr fontId="1" type="noConversion"/>
  </si>
  <si>
    <t>합계</t>
    <phoneticPr fontId="1" type="noConversion"/>
  </si>
  <si>
    <t>총판매액</t>
    <phoneticPr fontId="1" type="noConversion"/>
  </si>
  <si>
    <t>달성률</t>
    <phoneticPr fontId="1" type="noConversion"/>
  </si>
  <si>
    <t>가격</t>
    <phoneticPr fontId="1" type="noConversion"/>
  </si>
  <si>
    <t>목표량</t>
    <phoneticPr fontId="1" type="noConversion"/>
  </si>
  <si>
    <t>강아지패드</t>
    <phoneticPr fontId="1" type="noConversion"/>
  </si>
  <si>
    <t>스킨파우더</t>
    <phoneticPr fontId="1" type="noConversion"/>
  </si>
  <si>
    <t>기관지 영양제</t>
    <phoneticPr fontId="1" type="noConversion"/>
  </si>
  <si>
    <t>강아지 유산균</t>
    <phoneticPr fontId="1" type="noConversion"/>
  </si>
  <si>
    <t>로얄캐닌</t>
    <phoneticPr fontId="1" type="noConversion"/>
  </si>
  <si>
    <t>오라틴 치약</t>
    <phoneticPr fontId="1" type="noConversion"/>
  </si>
  <si>
    <t>노령견 관절 미펫낼름</t>
    <phoneticPr fontId="1" type="noConversion"/>
  </si>
  <si>
    <t>배변봉투 리필</t>
    <phoneticPr fontId="1" type="noConversion"/>
  </si>
  <si>
    <t>새밀린</t>
    <phoneticPr fontId="1" type="noConversion"/>
  </si>
  <si>
    <t>[표] 애견용품 판매현황</t>
    <phoneticPr fontId="1" type="noConversion"/>
  </si>
  <si>
    <t>서울</t>
  </si>
  <si>
    <t>인천</t>
  </si>
  <si>
    <t>대구</t>
  </si>
  <si>
    <t>광주</t>
  </si>
  <si>
    <t>부산</t>
  </si>
  <si>
    <t>목포</t>
  </si>
  <si>
    <t>제주</t>
  </si>
  <si>
    <t>1분기</t>
    <phoneticPr fontId="1" type="noConversion"/>
  </si>
  <si>
    <t>2분기</t>
  </si>
  <si>
    <t>3분기</t>
  </si>
  <si>
    <t>4분기</t>
  </si>
  <si>
    <t>평균</t>
    <phoneticPr fontId="1" type="noConversion"/>
  </si>
  <si>
    <t>지역별 강수량(mm)</t>
    <phoneticPr fontId="1" type="noConversion"/>
  </si>
  <si>
    <t>분기평균</t>
    <phoneticPr fontId="1" type="noConversion"/>
  </si>
  <si>
    <t>회원ID</t>
    <phoneticPr fontId="1" type="noConversion"/>
  </si>
  <si>
    <t>성명</t>
    <phoneticPr fontId="1" type="noConversion"/>
  </si>
  <si>
    <t>성별</t>
    <phoneticPr fontId="1" type="noConversion"/>
  </si>
  <si>
    <t>적립포인트</t>
    <phoneticPr fontId="1" type="noConversion"/>
  </si>
  <si>
    <t>TG-01</t>
  </si>
  <si>
    <t>강나리</t>
  </si>
  <si>
    <t>여</t>
    <phoneticPr fontId="1" type="noConversion"/>
  </si>
  <si>
    <t>VB-03</t>
  </si>
  <si>
    <t>김윤진</t>
  </si>
  <si>
    <t>남</t>
    <phoneticPr fontId="1" type="noConversion"/>
  </si>
  <si>
    <t>TG-05</t>
  </si>
  <si>
    <t>황태준</t>
  </si>
  <si>
    <t>VB-06</t>
  </si>
  <si>
    <t>이나준</t>
  </si>
  <si>
    <t>회원구분</t>
    <phoneticPr fontId="1" type="noConversion"/>
  </si>
  <si>
    <t>[표1]</t>
    <phoneticPr fontId="1" type="noConversion"/>
  </si>
  <si>
    <t>남여최대평균점수</t>
    <phoneticPr fontId="1" type="noConversion"/>
  </si>
  <si>
    <t>&lt;조건&gt;</t>
    <phoneticPr fontId="1" type="noConversion"/>
  </si>
  <si>
    <t>상품코드</t>
    <phoneticPr fontId="1" type="noConversion"/>
  </si>
  <si>
    <t>DD-072</t>
    <phoneticPr fontId="1" type="noConversion"/>
  </si>
  <si>
    <t>DA-061</t>
    <phoneticPr fontId="1" type="noConversion"/>
  </si>
  <si>
    <t>DY-082</t>
    <phoneticPr fontId="1" type="noConversion"/>
  </si>
  <si>
    <t>DU-091</t>
    <phoneticPr fontId="1" type="noConversion"/>
  </si>
  <si>
    <t>DV-083</t>
    <phoneticPr fontId="1" type="noConversion"/>
  </si>
  <si>
    <t>DP-094</t>
    <phoneticPr fontId="1" type="noConversion"/>
  </si>
  <si>
    <t>DR-053</t>
    <phoneticPr fontId="1" type="noConversion"/>
  </si>
  <si>
    <t>구매횟수</t>
    <phoneticPr fontId="1" type="noConversion"/>
  </si>
  <si>
    <t>우수회원 수</t>
    <phoneticPr fontId="1" type="noConversion"/>
  </si>
  <si>
    <t>주문시간</t>
    <phoneticPr fontId="1" type="noConversion"/>
  </si>
  <si>
    <t>배송시간</t>
    <phoneticPr fontId="1" type="noConversion"/>
  </si>
  <si>
    <t>도착시간</t>
    <phoneticPr fontId="1" type="noConversion"/>
  </si>
  <si>
    <t>고한나</t>
    <phoneticPr fontId="1" type="noConversion"/>
  </si>
  <si>
    <t>최준수</t>
    <phoneticPr fontId="1" type="noConversion"/>
  </si>
  <si>
    <t>강현미</t>
    <phoneticPr fontId="1" type="noConversion"/>
  </si>
  <si>
    <t>박은수</t>
    <phoneticPr fontId="1" type="noConversion"/>
  </si>
  <si>
    <t>김미영</t>
    <phoneticPr fontId="1" type="noConversion"/>
  </si>
  <si>
    <t>이호영</t>
    <phoneticPr fontId="1" type="noConversion"/>
  </si>
  <si>
    <t>황소민</t>
    <phoneticPr fontId="1" type="noConversion"/>
  </si>
  <si>
    <t>장지연</t>
    <phoneticPr fontId="1" type="noConversion"/>
  </si>
  <si>
    <t>&gt;=300</t>
    <phoneticPr fontId="1" type="noConversion"/>
  </si>
  <si>
    <t>&gt;=200</t>
    <phoneticPr fontId="1" type="noConversion"/>
  </si>
  <si>
    <t>제품코드</t>
  </si>
  <si>
    <t>(모두)</t>
  </si>
  <si>
    <t>행 레이블</t>
  </si>
  <si>
    <t>총합계</t>
  </si>
  <si>
    <t>합계 : 불량수량</t>
  </si>
  <si>
    <t>평균 : 목표수량</t>
  </si>
  <si>
    <t>평균 : 생산수량</t>
  </si>
  <si>
    <t>순이익율</t>
  </si>
  <si>
    <t>순이익합계</t>
  </si>
  <si>
    <t>순이익율증가</t>
  </si>
  <si>
    <t>순이익율감소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</si>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</sst>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h:mm:ss;@"/>
    <numFmt numFmtId="177" formatCode="#,##0.00_ 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i/>
      <u val="doubleAccounting"/>
      <sz val="14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2" fillId="3" borderId="0" applyNumberFormat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0" fontId="5" fillId="0" borderId="1" xfId="0" applyFont="1" applyFill="1" applyBorder="1">
      <alignment vertical="center"/>
    </xf>
    <xf numFmtId="0" fontId="6" fillId="0" borderId="1" xfId="3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3" fontId="0" fillId="0" borderId="1" xfId="0" applyNumberFormat="1" applyBorder="1">
      <alignment vertical="center"/>
    </xf>
    <xf numFmtId="0" fontId="2" fillId="3" borderId="5" xfId="4" applyBorder="1">
      <alignment vertical="center"/>
    </xf>
    <xf numFmtId="0" fontId="2" fillId="3" borderId="6" xfId="4" applyBorder="1">
      <alignment vertical="center"/>
    </xf>
    <xf numFmtId="0" fontId="2" fillId="3" borderId="7" xfId="4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3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4" xfId="0" applyNumberFormat="1" applyFill="1" applyBorder="1" applyAlignment="1">
      <alignment vertical="center"/>
    </xf>
    <xf numFmtId="0" fontId="12" fillId="4" borderId="15" xfId="0" applyFont="1" applyFill="1" applyBorder="1" applyAlignment="1">
      <alignment horizontal="left" vertical="center"/>
    </xf>
    <xf numFmtId="0" fontId="11" fillId="4" borderId="13" xfId="0" applyFont="1" applyFill="1" applyBorder="1" applyAlignment="1">
      <alignment horizontal="left" vertical="center"/>
    </xf>
    <xf numFmtId="0" fontId="12" fillId="4" borderId="13" xfId="0" applyFont="1" applyFill="1" applyBorder="1" applyAlignment="1">
      <alignment horizontal="left" vertical="center"/>
    </xf>
    <xf numFmtId="0" fontId="0" fillId="0" borderId="16" xfId="0" applyFill="1" applyBorder="1" applyAlignment="1">
      <alignment vertical="center"/>
    </xf>
    <xf numFmtId="0" fontId="13" fillId="5" borderId="0" xfId="0" applyFont="1" applyFill="1" applyBorder="1" applyAlignment="1">
      <alignment horizontal="left" vertical="center"/>
    </xf>
    <xf numFmtId="0" fontId="14" fillId="5" borderId="16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left" vertical="center"/>
    </xf>
    <xf numFmtId="0" fontId="13" fillId="5" borderId="14" xfId="0" applyFont="1" applyFill="1" applyBorder="1" applyAlignment="1">
      <alignment horizontal="left" vertical="center"/>
    </xf>
    <xf numFmtId="0" fontId="11" fillId="4" borderId="13" xfId="0" applyFont="1" applyFill="1" applyBorder="1" applyAlignment="1">
      <alignment horizontal="right" vertical="center"/>
    </xf>
    <xf numFmtId="0" fontId="11" fillId="4" borderId="15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6" fillId="0" borderId="0" xfId="0" applyFont="1" applyFill="1" applyBorder="1" applyAlignment="1">
      <alignment vertical="top" wrapText="1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1" fontId="0" fillId="7" borderId="1" xfId="1" applyFont="1" applyFill="1" applyBorder="1" applyAlignment="1">
      <alignment horizontal="center" vertical="center"/>
    </xf>
    <xf numFmtId="9" fontId="0" fillId="0" borderId="1" xfId="2" applyFont="1" applyBorder="1">
      <alignment vertical="center"/>
    </xf>
  </cellXfs>
  <cellStyles count="5">
    <cellStyle name="60% - 강조색6" xfId="4" builtinId="52"/>
    <cellStyle name="백분율" xfId="2" builtinId="5"/>
    <cellStyle name="쉼표 [0]" xfId="1" builtinId="6"/>
    <cellStyle name="표준" xfId="0" builtinId="0"/>
    <cellStyle name="표준 3" xfId="3" xr:uid="{52726200-06D9-4348-A3CC-49D04A6E63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차트작업!$A$1</c:f>
          <c:strCache>
            <c:ptCount val="1"/>
            <c:pt idx="0">
              <c:v>지역별 강수량(mm)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1분기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차트작업!$B$4:$H$4</c:f>
              <c:numCache>
                <c:formatCode>_(* #,##0_);_(* \(#,##0\);_(* "-"_);_(@_)</c:formatCode>
                <c:ptCount val="7"/>
                <c:pt idx="0">
                  <c:v>112.8</c:v>
                </c:pt>
                <c:pt idx="1">
                  <c:v>91.699999999999989</c:v>
                </c:pt>
                <c:pt idx="2">
                  <c:v>34.4</c:v>
                </c:pt>
                <c:pt idx="3">
                  <c:v>108.2</c:v>
                </c:pt>
                <c:pt idx="4">
                  <c:v>127.4</c:v>
                </c:pt>
                <c:pt idx="5">
                  <c:v>87.7</c:v>
                </c:pt>
                <c:pt idx="6">
                  <c:v>154.80000000000001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E-4FC9-A747-E924D97898B0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2분기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차트작업!$B$5:$H$5</c:f>
              <c:numCache>
                <c:formatCode>_(* #,##0_);_(* \(#,##0\);_(* "-"_);_(@_)</c:formatCode>
                <c:ptCount val="7"/>
                <c:pt idx="0">
                  <c:v>421.7</c:v>
                </c:pt>
                <c:pt idx="1">
                  <c:v>312.5</c:v>
                </c:pt>
                <c:pt idx="2">
                  <c:v>124.5</c:v>
                </c:pt>
                <c:pt idx="3">
                  <c:v>181.5</c:v>
                </c:pt>
                <c:pt idx="4">
                  <c:v>288</c:v>
                </c:pt>
                <c:pt idx="5">
                  <c:v>167.5</c:v>
                </c:pt>
                <c:pt idx="6">
                  <c:v>236.7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E-4FC9-A747-E924D97898B0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3분기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차트작업!$B$6:$H$6</c:f>
              <c:numCache>
                <c:formatCode>_(* #,##0_);_(* \(#,##0\);_(* "-"_);_(@_)</c:formatCode>
                <c:ptCount val="7"/>
                <c:pt idx="0">
                  <c:v>1018.5999999999999</c:v>
                </c:pt>
                <c:pt idx="1">
                  <c:v>1018.8999999999999</c:v>
                </c:pt>
                <c:pt idx="2">
                  <c:v>346.3</c:v>
                </c:pt>
                <c:pt idx="3">
                  <c:v>364.59999999999997</c:v>
                </c:pt>
                <c:pt idx="4">
                  <c:v>484.1</c:v>
                </c:pt>
                <c:pt idx="5">
                  <c:v>390.5</c:v>
                </c:pt>
                <c:pt idx="6">
                  <c:v>539.1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E-4FC9-A747-E924D97898B0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4분기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차트작업!$B$7:$H$7</c:f>
              <c:numCache>
                <c:formatCode>_(* #,##0_);_(* \(#,##0\);_(* "-"_);_(@_)</c:formatCode>
                <c:ptCount val="7"/>
                <c:pt idx="0">
                  <c:v>216.5</c:v>
                </c:pt>
                <c:pt idx="1">
                  <c:v>190.99999999999997</c:v>
                </c:pt>
                <c:pt idx="2">
                  <c:v>72.3</c:v>
                </c:pt>
                <c:pt idx="3">
                  <c:v>92.1</c:v>
                </c:pt>
                <c:pt idx="4">
                  <c:v>75.5</c:v>
                </c:pt>
                <c:pt idx="5">
                  <c:v>85</c:v>
                </c:pt>
                <c:pt idx="6">
                  <c:v>141.30000000000001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E-4FC9-A747-E924D9789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20457216"/>
        <c:axId val="1820468032"/>
      </c:barChart>
      <c:catAx>
        <c:axId val="182045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0468032"/>
        <c:crosses val="autoZero"/>
        <c:auto val="1"/>
        <c:lblAlgn val="ctr"/>
        <c:lblOffset val="100"/>
        <c:noMultiLvlLbl val="0"/>
      </c:catAx>
      <c:valAx>
        <c:axId val="18204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04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</xdr:colOff>
      <xdr:row>1</xdr:row>
      <xdr:rowOff>6350</xdr:rowOff>
    </xdr:from>
    <xdr:to>
      <xdr:col>9</xdr:col>
      <xdr:colOff>0</xdr:colOff>
      <xdr:row>3</xdr:row>
      <xdr:rowOff>0</xdr:rowOff>
    </xdr:to>
    <xdr:sp macro="[0]!달성률" textlink="">
      <xdr:nvSpPr>
        <xdr:cNvPr id="2" name="사각형: 빗면 1">
          <a:extLst>
            <a:ext uri="{FF2B5EF4-FFF2-40B4-BE49-F238E27FC236}">
              <a16:creationId xmlns:a16="http://schemas.microsoft.com/office/drawing/2014/main" id="{4EB6D2F3-DA5E-4E9B-AADA-0A75F04DB71A}"/>
            </a:ext>
          </a:extLst>
        </xdr:cNvPr>
        <xdr:cNvSpPr/>
      </xdr:nvSpPr>
      <xdr:spPr>
        <a:xfrm>
          <a:off x="5613400" y="222250"/>
          <a:ext cx="1314450" cy="4254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달성률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5FE4A84-B20C-47FA-9B31-F7607266D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06.939028587964" createdVersion="7" refreshedVersion="7" minRefreshableVersion="3" recordCount="16" xr:uid="{FE70CDB3-555C-4944-8009-A7B8CA468EA7}">
  <cacheSource type="worksheet">
    <worksheetSource ref="A3:F19" sheet="분석작업-1"/>
  </cacheSource>
  <cacheFields count="6">
    <cacheField name="제품코드" numFmtId="0">
      <sharedItems count="4">
        <s v="ANS-001"/>
        <s v="POT-001"/>
        <s v="POT-002"/>
        <s v="ANS-002"/>
      </sharedItems>
    </cacheField>
    <cacheField name="생산공장" numFmtId="0">
      <sharedItems count="2">
        <s v="안산"/>
        <s v="평택"/>
      </sharedItems>
    </cacheField>
    <cacheField name="목표수량" numFmtId="0">
      <sharedItems containsSemiMixedTypes="0" containsString="0" containsNumber="1" containsInteger="1" minValue="1500" maxValue="2205"/>
    </cacheField>
    <cacheField name="생산수량" numFmtId="0">
      <sharedItems containsSemiMixedTypes="0" containsString="0" containsNumber="1" containsInteger="1" minValue="1350" maxValue="2194"/>
    </cacheField>
    <cacheField name="불량수량" numFmtId="0">
      <sharedItems containsSemiMixedTypes="0" containsString="0" containsNumber="1" containsInteger="1" minValue="6" maxValue="30" count="13">
        <n v="13"/>
        <n v="30"/>
        <n v="22"/>
        <n v="17"/>
        <n v="6"/>
        <n v="9"/>
        <n v="23"/>
        <n v="29"/>
        <n v="15"/>
        <n v="7"/>
        <n v="20"/>
        <n v="12"/>
        <n v="8"/>
      </sharedItems>
    </cacheField>
    <cacheField name="불량률" numFmtId="10">
      <sharedItems containsSemiMixedTypes="0" containsString="0" containsNumber="1" minValue="2.7586206896551722E-3" maxValue="1.686046511627907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1705"/>
    <n v="1977"/>
    <x v="0"/>
    <n v="6.5756196256954984E-3"/>
  </r>
  <r>
    <x v="1"/>
    <x v="1"/>
    <n v="2005"/>
    <n v="1947"/>
    <x v="1"/>
    <n v="1.5408320493066256E-2"/>
  </r>
  <r>
    <x v="2"/>
    <x v="1"/>
    <n v="1705"/>
    <n v="1777"/>
    <x v="2"/>
    <n v="1.2380416432189083E-2"/>
  </r>
  <r>
    <x v="3"/>
    <x v="0"/>
    <n v="1505"/>
    <n v="1620"/>
    <x v="3"/>
    <n v="1.0493827160493827E-2"/>
  </r>
  <r>
    <x v="0"/>
    <x v="0"/>
    <n v="2005"/>
    <n v="2175"/>
    <x v="4"/>
    <n v="2.7586206896551722E-3"/>
  </r>
  <r>
    <x v="2"/>
    <x v="1"/>
    <n v="2005"/>
    <n v="1926"/>
    <x v="5"/>
    <n v="4.6728971962616819E-3"/>
  </r>
  <r>
    <x v="1"/>
    <x v="1"/>
    <n v="2005"/>
    <n v="2194"/>
    <x v="6"/>
    <n v="1.0483135824977211E-2"/>
  </r>
  <r>
    <x v="2"/>
    <x v="1"/>
    <n v="2005"/>
    <n v="1720"/>
    <x v="7"/>
    <n v="1.6860465116279071E-2"/>
  </r>
  <r>
    <x v="0"/>
    <x v="0"/>
    <n v="2205"/>
    <n v="2041"/>
    <x v="8"/>
    <n v="7.3493385595296426E-3"/>
  </r>
  <r>
    <x v="2"/>
    <x v="1"/>
    <n v="1905"/>
    <n v="1726"/>
    <x v="9"/>
    <n v="4.0556199304750866E-3"/>
  </r>
  <r>
    <x v="3"/>
    <x v="0"/>
    <n v="1705"/>
    <n v="1755"/>
    <x v="8"/>
    <n v="8.5470085470085479E-3"/>
  </r>
  <r>
    <x v="1"/>
    <x v="1"/>
    <n v="2205"/>
    <n v="2077"/>
    <x v="10"/>
    <n v="9.6292729898892638E-3"/>
  </r>
  <r>
    <x v="0"/>
    <x v="0"/>
    <n v="2005"/>
    <n v="2062"/>
    <x v="11"/>
    <n v="5.8195926285160042E-3"/>
  </r>
  <r>
    <x v="1"/>
    <x v="1"/>
    <n v="2005"/>
    <n v="2114"/>
    <x v="9"/>
    <n v="3.3112582781456954E-3"/>
  </r>
  <r>
    <x v="3"/>
    <x v="0"/>
    <n v="1705"/>
    <n v="1757"/>
    <x v="12"/>
    <n v="4.5532157085941948E-3"/>
  </r>
  <r>
    <x v="0"/>
    <x v="0"/>
    <n v="1500"/>
    <n v="1350"/>
    <x v="8"/>
    <n v="1.111111111111111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8FF50D-5379-4CDC-BF3D-D1B01E861AFD}" name="피벗 테이블2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4:D27" firstHeaderRow="0" firstDataRow="1" firstDataCol="1" rowPageCount="1" colPageCount="1"/>
  <pivotFields count="6">
    <pivotField axis="axisPage" showAll="0">
      <items count="5">
        <item x="0"/>
        <item x="3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dataField="1" showAll="0"/>
    <pivotField dataField="1" showAll="0">
      <items count="14">
        <item x="4"/>
        <item x="9"/>
        <item x="12"/>
        <item x="5"/>
        <item x="11"/>
        <item x="0"/>
        <item x="8"/>
        <item x="3"/>
        <item x="10"/>
        <item x="2"/>
        <item x="6"/>
        <item x="7"/>
        <item x="1"/>
        <item t="default"/>
      </items>
    </pivotField>
    <pivotField numFmtId="10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불량수량" fld="4" baseField="0" baseItem="0"/>
    <dataField name="평균 : 목표수량" fld="2" subtotal="average" baseField="1" baseItem="0" numFmtId="177"/>
    <dataField name="평균 : 생산수량" fld="3" subtotal="average" baseField="1" baseItem="0" numFmtId="177"/>
  </dataField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tabSelected="1" workbookViewId="0"/>
  </sheetViews>
  <sheetFormatPr defaultRowHeight="17" x14ac:dyDescent="0.45"/>
  <cols>
    <col min="1" max="1" width="10.1640625" customWidth="1"/>
    <col min="2" max="2" width="23.58203125" customWidth="1"/>
    <col min="3" max="3" width="13.1640625" bestFit="1" customWidth="1"/>
  </cols>
  <sheetData>
    <row r="1" spans="1:6" x14ac:dyDescent="0.45">
      <c r="A1" t="s">
        <v>13</v>
      </c>
    </row>
    <row r="3" spans="1:6" x14ac:dyDescent="0.45">
      <c r="A3" t="s">
        <v>17</v>
      </c>
      <c r="B3" t="s">
        <v>15</v>
      </c>
      <c r="C3" t="s">
        <v>12</v>
      </c>
      <c r="D3" t="s">
        <v>14</v>
      </c>
      <c r="E3" t="s">
        <v>16</v>
      </c>
      <c r="F3" t="s">
        <v>18</v>
      </c>
    </row>
    <row r="4" spans="1:6" x14ac:dyDescent="0.45">
      <c r="A4" t="s">
        <v>19</v>
      </c>
      <c r="B4" t="s">
        <v>5</v>
      </c>
      <c r="C4" t="s">
        <v>6</v>
      </c>
      <c r="D4">
        <v>14500</v>
      </c>
      <c r="E4">
        <v>15</v>
      </c>
      <c r="F4" t="s">
        <v>161</v>
      </c>
    </row>
    <row r="5" spans="1:6" x14ac:dyDescent="0.45">
      <c r="A5" t="s">
        <v>20</v>
      </c>
      <c r="B5" t="s">
        <v>0</v>
      </c>
      <c r="C5" t="s">
        <v>7</v>
      </c>
      <c r="D5">
        <v>34900</v>
      </c>
      <c r="E5">
        <v>21</v>
      </c>
      <c r="F5" t="s">
        <v>162</v>
      </c>
    </row>
    <row r="6" spans="1:6" x14ac:dyDescent="0.45">
      <c r="A6" t="s">
        <v>21</v>
      </c>
      <c r="B6" t="s">
        <v>1</v>
      </c>
      <c r="C6" t="s">
        <v>8</v>
      </c>
      <c r="D6">
        <v>14500</v>
      </c>
      <c r="E6">
        <v>27</v>
      </c>
      <c r="F6" t="s">
        <v>163</v>
      </c>
    </row>
    <row r="7" spans="1:6" x14ac:dyDescent="0.45">
      <c r="A7" t="s">
        <v>22</v>
      </c>
      <c r="B7" t="s">
        <v>2</v>
      </c>
      <c r="C7" t="s">
        <v>8</v>
      </c>
      <c r="D7">
        <v>11000</v>
      </c>
      <c r="E7">
        <v>28</v>
      </c>
      <c r="F7" t="s">
        <v>164</v>
      </c>
    </row>
    <row r="8" spans="1:6" x14ac:dyDescent="0.45">
      <c r="A8" t="s">
        <v>23</v>
      </c>
      <c r="B8" t="s">
        <v>3</v>
      </c>
      <c r="C8" t="s">
        <v>7</v>
      </c>
      <c r="D8">
        <v>50000</v>
      </c>
      <c r="E8">
        <v>17</v>
      </c>
      <c r="F8" t="s">
        <v>165</v>
      </c>
    </row>
    <row r="9" spans="1:6" x14ac:dyDescent="0.45">
      <c r="A9" t="s">
        <v>24</v>
      </c>
      <c r="B9" t="s">
        <v>10</v>
      </c>
      <c r="C9" t="s">
        <v>11</v>
      </c>
      <c r="D9">
        <v>20000</v>
      </c>
      <c r="E9">
        <v>12</v>
      </c>
      <c r="F9" t="s">
        <v>166</v>
      </c>
    </row>
    <row r="10" spans="1:6" x14ac:dyDescent="0.45">
      <c r="A10" t="s">
        <v>25</v>
      </c>
      <c r="B10" t="s">
        <v>4</v>
      </c>
      <c r="C10" t="s">
        <v>8</v>
      </c>
      <c r="D10">
        <v>14500</v>
      </c>
      <c r="E10">
        <v>31</v>
      </c>
      <c r="F10" t="s">
        <v>167</v>
      </c>
    </row>
    <row r="11" spans="1:6" x14ac:dyDescent="0.45">
      <c r="A11" t="s">
        <v>26</v>
      </c>
      <c r="B11" t="s">
        <v>9</v>
      </c>
      <c r="C11" t="s">
        <v>7</v>
      </c>
      <c r="D11">
        <v>29000</v>
      </c>
      <c r="E11">
        <v>29</v>
      </c>
      <c r="F11" t="s">
        <v>168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162DD-21ED-4C57-B1CD-EB95308F6CF7}">
  <sheetPr codeName="Sheet2"/>
  <dimension ref="A1:G11"/>
  <sheetViews>
    <sheetView workbookViewId="0"/>
  </sheetViews>
  <sheetFormatPr defaultRowHeight="17" x14ac:dyDescent="0.45"/>
  <cols>
    <col min="1" max="1" width="10.4140625" bestFit="1" customWidth="1"/>
    <col min="2" max="2" width="19" bestFit="1" customWidth="1"/>
    <col min="3" max="3" width="11.33203125" bestFit="1" customWidth="1"/>
    <col min="4" max="5" width="8.75" bestFit="1" customWidth="1"/>
    <col min="6" max="6" width="9" bestFit="1" customWidth="1"/>
  </cols>
  <sheetData>
    <row r="1" spans="1:7" ht="30" customHeight="1" x14ac:dyDescent="0.45">
      <c r="A1" s="22" t="s">
        <v>69</v>
      </c>
      <c r="B1" s="22"/>
      <c r="C1" s="22"/>
      <c r="D1" s="22"/>
      <c r="E1" s="22"/>
      <c r="F1" s="22"/>
      <c r="G1" s="22"/>
    </row>
    <row r="2" spans="1:7" ht="17.5" thickBot="1" x14ac:dyDescent="0.5"/>
    <row r="3" spans="1:7" x14ac:dyDescent="0.45">
      <c r="A3" s="24" t="s">
        <v>12</v>
      </c>
      <c r="B3" s="25" t="s">
        <v>68</v>
      </c>
      <c r="C3" s="25" t="s">
        <v>67</v>
      </c>
      <c r="D3" s="25" t="s">
        <v>66</v>
      </c>
      <c r="E3" s="25" t="s">
        <v>65</v>
      </c>
      <c r="F3" s="25" t="s">
        <v>64</v>
      </c>
      <c r="G3" s="26" t="s">
        <v>63</v>
      </c>
    </row>
    <row r="4" spans="1:7" x14ac:dyDescent="0.45">
      <c r="A4" s="50" t="s">
        <v>62</v>
      </c>
      <c r="B4" s="1" t="s">
        <v>61</v>
      </c>
      <c r="C4" s="1" t="s">
        <v>60</v>
      </c>
      <c r="D4" s="23">
        <v>17900</v>
      </c>
      <c r="E4" s="23">
        <v>15</v>
      </c>
      <c r="F4" s="23">
        <f t="shared" ref="F4:F11" si="0">D4*E4</f>
        <v>268500</v>
      </c>
      <c r="G4" s="27">
        <f t="shared" ref="G4:G11" si="1">_xlfn.RANK.EQ(F4,$F$4:$F$11)</f>
        <v>8</v>
      </c>
    </row>
    <row r="5" spans="1:7" x14ac:dyDescent="0.45">
      <c r="A5" s="50"/>
      <c r="B5" s="1" t="s">
        <v>59</v>
      </c>
      <c r="C5" s="1" t="s">
        <v>58</v>
      </c>
      <c r="D5" s="23">
        <v>24000</v>
      </c>
      <c r="E5" s="23">
        <v>20</v>
      </c>
      <c r="F5" s="23">
        <f t="shared" si="0"/>
        <v>480000</v>
      </c>
      <c r="G5" s="27">
        <f t="shared" si="1"/>
        <v>5</v>
      </c>
    </row>
    <row r="6" spans="1:7" x14ac:dyDescent="0.45">
      <c r="A6" s="50"/>
      <c r="B6" s="1" t="s">
        <v>57</v>
      </c>
      <c r="C6" s="1" t="s">
        <v>56</v>
      </c>
      <c r="D6" s="23">
        <v>26820</v>
      </c>
      <c r="E6" s="23">
        <v>18</v>
      </c>
      <c r="F6" s="23">
        <f t="shared" si="0"/>
        <v>482760</v>
      </c>
      <c r="G6" s="27">
        <f t="shared" si="1"/>
        <v>4</v>
      </c>
    </row>
    <row r="7" spans="1:7" x14ac:dyDescent="0.45">
      <c r="A7" s="50" t="s">
        <v>55</v>
      </c>
      <c r="B7" s="1" t="s">
        <v>54</v>
      </c>
      <c r="C7" s="1" t="s">
        <v>53</v>
      </c>
      <c r="D7" s="23">
        <v>32900</v>
      </c>
      <c r="E7" s="23">
        <v>37</v>
      </c>
      <c r="F7" s="23">
        <f t="shared" si="0"/>
        <v>1217300</v>
      </c>
      <c r="G7" s="27">
        <f t="shared" si="1"/>
        <v>1</v>
      </c>
    </row>
    <row r="8" spans="1:7" x14ac:dyDescent="0.45">
      <c r="A8" s="50"/>
      <c r="B8" s="1" t="s">
        <v>52</v>
      </c>
      <c r="C8" s="1" t="s">
        <v>51</v>
      </c>
      <c r="D8" s="23">
        <v>73900</v>
      </c>
      <c r="E8" s="23">
        <v>12</v>
      </c>
      <c r="F8" s="23">
        <f t="shared" si="0"/>
        <v>886800</v>
      </c>
      <c r="G8" s="27">
        <f t="shared" si="1"/>
        <v>2</v>
      </c>
    </row>
    <row r="9" spans="1:7" x14ac:dyDescent="0.45">
      <c r="A9" s="50"/>
      <c r="B9" s="1" t="s">
        <v>50</v>
      </c>
      <c r="C9" s="1" t="s">
        <v>49</v>
      </c>
      <c r="D9" s="23">
        <v>10900</v>
      </c>
      <c r="E9" s="23">
        <v>34</v>
      </c>
      <c r="F9" s="23">
        <f t="shared" si="0"/>
        <v>370600</v>
      </c>
      <c r="G9" s="27">
        <f t="shared" si="1"/>
        <v>6</v>
      </c>
    </row>
    <row r="10" spans="1:7" x14ac:dyDescent="0.45">
      <c r="A10" s="50" t="s">
        <v>48</v>
      </c>
      <c r="B10" s="1" t="s">
        <v>47</v>
      </c>
      <c r="C10" s="1" t="s">
        <v>46</v>
      </c>
      <c r="D10" s="23">
        <v>74600</v>
      </c>
      <c r="E10" s="23">
        <v>10</v>
      </c>
      <c r="F10" s="23">
        <f t="shared" si="0"/>
        <v>746000</v>
      </c>
      <c r="G10" s="27">
        <f t="shared" si="1"/>
        <v>3</v>
      </c>
    </row>
    <row r="11" spans="1:7" ht="17.5" thickBot="1" x14ac:dyDescent="0.5">
      <c r="A11" s="51"/>
      <c r="B11" s="28" t="s">
        <v>45</v>
      </c>
      <c r="C11" s="28" t="s">
        <v>44</v>
      </c>
      <c r="D11" s="29">
        <v>19500</v>
      </c>
      <c r="E11" s="29">
        <v>19</v>
      </c>
      <c r="F11" s="29">
        <f t="shared" si="0"/>
        <v>370500</v>
      </c>
      <c r="G11" s="30">
        <f t="shared" si="1"/>
        <v>7</v>
      </c>
    </row>
  </sheetData>
  <mergeCells count="3">
    <mergeCell ref="A10:A11"/>
    <mergeCell ref="A7:A9"/>
    <mergeCell ref="A4:A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/>
  </sheetViews>
  <sheetFormatPr defaultRowHeight="17" x14ac:dyDescent="0.45"/>
  <cols>
    <col min="1" max="1" width="14.25" customWidth="1"/>
    <col min="2" max="2" width="14.33203125" bestFit="1" customWidth="1"/>
    <col min="3" max="3" width="12.33203125" bestFit="1" customWidth="1"/>
    <col min="4" max="4" width="14.33203125" bestFit="1" customWidth="1"/>
    <col min="5" max="5" width="10.4140625" bestFit="1" customWidth="1"/>
    <col min="6" max="6" width="12.33203125" bestFit="1" customWidth="1"/>
  </cols>
  <sheetData>
    <row r="1" spans="1:6" x14ac:dyDescent="0.45">
      <c r="A1" t="s">
        <v>35</v>
      </c>
    </row>
    <row r="3" spans="1:6" x14ac:dyDescent="0.45">
      <c r="A3" s="2" t="s">
        <v>27</v>
      </c>
      <c r="B3" s="2" t="s">
        <v>30</v>
      </c>
      <c r="C3" s="2" t="s">
        <v>31</v>
      </c>
      <c r="D3" s="2" t="s">
        <v>32</v>
      </c>
      <c r="E3" s="2" t="s">
        <v>33</v>
      </c>
      <c r="F3" s="2" t="s">
        <v>34</v>
      </c>
    </row>
    <row r="4" spans="1:6" x14ac:dyDescent="0.45">
      <c r="A4" s="2" t="s">
        <v>28</v>
      </c>
      <c r="B4" s="1">
        <v>450</v>
      </c>
      <c r="C4" s="1">
        <v>350</v>
      </c>
      <c r="D4" s="1">
        <v>450</v>
      </c>
      <c r="E4" s="1">
        <v>250</v>
      </c>
      <c r="F4" s="1">
        <v>300</v>
      </c>
    </row>
    <row r="5" spans="1:6" x14ac:dyDescent="0.45">
      <c r="A5" s="2" t="s">
        <v>29</v>
      </c>
      <c r="B5" s="1">
        <v>380</v>
      </c>
      <c r="C5" s="1">
        <v>350</v>
      </c>
      <c r="D5" s="1">
        <v>295</v>
      </c>
      <c r="E5" s="1">
        <v>350</v>
      </c>
      <c r="F5" s="1">
        <v>310</v>
      </c>
    </row>
    <row r="6" spans="1:6" x14ac:dyDescent="0.45">
      <c r="A6" s="2" t="s">
        <v>36</v>
      </c>
      <c r="B6" s="1">
        <v>250</v>
      </c>
      <c r="C6" s="1">
        <v>410</v>
      </c>
      <c r="D6" s="1">
        <v>350</v>
      </c>
      <c r="E6" s="1">
        <v>180</v>
      </c>
      <c r="F6" s="1">
        <v>190</v>
      </c>
    </row>
    <row r="7" spans="1:6" x14ac:dyDescent="0.45">
      <c r="A7" s="2" t="s">
        <v>41</v>
      </c>
      <c r="B7" s="1">
        <v>395</v>
      </c>
      <c r="C7" s="1">
        <v>280</v>
      </c>
      <c r="D7" s="1">
        <v>280</v>
      </c>
      <c r="E7" s="1">
        <v>190</v>
      </c>
      <c r="F7" s="1">
        <v>250</v>
      </c>
    </row>
    <row r="8" spans="1:6" x14ac:dyDescent="0.45">
      <c r="A8" s="2" t="s">
        <v>37</v>
      </c>
      <c r="B8" s="1">
        <v>410</v>
      </c>
      <c r="C8" s="1">
        <v>150</v>
      </c>
      <c r="D8" s="1">
        <v>290</v>
      </c>
      <c r="E8" s="1">
        <v>240</v>
      </c>
      <c r="F8" s="1">
        <v>180</v>
      </c>
    </row>
    <row r="9" spans="1:6" x14ac:dyDescent="0.45">
      <c r="A9" s="2" t="s">
        <v>42</v>
      </c>
      <c r="B9" s="1">
        <v>260</v>
      </c>
      <c r="C9" s="1">
        <v>300</v>
      </c>
      <c r="D9" s="1">
        <v>250</v>
      </c>
      <c r="E9" s="1">
        <v>360</v>
      </c>
      <c r="F9" s="1">
        <v>190</v>
      </c>
    </row>
    <row r="10" spans="1:6" x14ac:dyDescent="0.45">
      <c r="A10" s="2" t="s">
        <v>38</v>
      </c>
      <c r="B10" s="1">
        <v>300</v>
      </c>
      <c r="C10" s="1">
        <v>180</v>
      </c>
      <c r="D10" s="1">
        <v>180</v>
      </c>
      <c r="E10" s="1">
        <v>120</v>
      </c>
      <c r="F10" s="1">
        <v>175</v>
      </c>
    </row>
    <row r="11" spans="1:6" x14ac:dyDescent="0.45">
      <c r="A11" s="2" t="s">
        <v>43</v>
      </c>
      <c r="B11" s="1">
        <v>290</v>
      </c>
      <c r="C11" s="1">
        <v>250</v>
      </c>
      <c r="D11" s="1">
        <v>270</v>
      </c>
      <c r="E11" s="1">
        <v>320</v>
      </c>
      <c r="F11" s="1">
        <v>160</v>
      </c>
    </row>
    <row r="12" spans="1:6" x14ac:dyDescent="0.45">
      <c r="A12" s="2" t="s">
        <v>39</v>
      </c>
      <c r="B12" s="1">
        <v>280</v>
      </c>
      <c r="C12" s="1">
        <v>230</v>
      </c>
      <c r="D12" s="1">
        <v>250</v>
      </c>
      <c r="E12" s="1">
        <v>180</v>
      </c>
      <c r="F12" s="1">
        <v>155</v>
      </c>
    </row>
    <row r="13" spans="1:6" x14ac:dyDescent="0.45">
      <c r="A13" s="2" t="s">
        <v>40</v>
      </c>
      <c r="B13" s="1">
        <v>200</v>
      </c>
      <c r="C13" s="1">
        <v>310</v>
      </c>
      <c r="D13" s="1">
        <v>280</v>
      </c>
      <c r="E13" s="1">
        <v>190</v>
      </c>
      <c r="F13" s="1">
        <v>195</v>
      </c>
    </row>
    <row r="15" spans="1:6" x14ac:dyDescent="0.45">
      <c r="A15" s="20" t="s">
        <v>32</v>
      </c>
      <c r="B15" s="20" t="s">
        <v>34</v>
      </c>
    </row>
    <row r="16" spans="1:6" x14ac:dyDescent="0.45">
      <c r="A16" s="17" t="s">
        <v>169</v>
      </c>
    </row>
    <row r="17" spans="1:3" x14ac:dyDescent="0.45">
      <c r="B17" t="s">
        <v>170</v>
      </c>
    </row>
    <row r="19" spans="1:3" x14ac:dyDescent="0.45">
      <c r="A19" s="20" t="s">
        <v>27</v>
      </c>
      <c r="B19" s="20" t="s">
        <v>32</v>
      </c>
      <c r="C19" s="20" t="s">
        <v>34</v>
      </c>
    </row>
    <row r="20" spans="1:3" x14ac:dyDescent="0.45">
      <c r="A20" s="21" t="s">
        <v>28</v>
      </c>
      <c r="B20" s="1">
        <v>450</v>
      </c>
      <c r="C20" s="1">
        <v>300</v>
      </c>
    </row>
    <row r="21" spans="1:3" x14ac:dyDescent="0.45">
      <c r="A21" s="21" t="s">
        <v>29</v>
      </c>
      <c r="B21" s="1">
        <v>295</v>
      </c>
      <c r="C21" s="1">
        <v>310</v>
      </c>
    </row>
    <row r="22" spans="1:3" x14ac:dyDescent="0.45">
      <c r="A22" s="21" t="s">
        <v>36</v>
      </c>
      <c r="B22" s="1">
        <v>350</v>
      </c>
      <c r="C22" s="1">
        <v>190</v>
      </c>
    </row>
    <row r="23" spans="1:3" x14ac:dyDescent="0.45">
      <c r="A23" s="21" t="s">
        <v>41</v>
      </c>
      <c r="B23" s="1">
        <v>280</v>
      </c>
      <c r="C23" s="1">
        <v>250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6"/>
  <sheetViews>
    <sheetView workbookViewId="0"/>
  </sheetViews>
  <sheetFormatPr defaultRowHeight="17" x14ac:dyDescent="0.45"/>
  <cols>
    <col min="4" max="4" width="10.4140625" bestFit="1" customWidth="1"/>
    <col min="5" max="5" width="9.58203125" customWidth="1"/>
    <col min="6" max="6" width="10.4140625" bestFit="1" customWidth="1"/>
    <col min="7" max="8" width="10.4140625" customWidth="1"/>
    <col min="9" max="9" width="9.58203125" customWidth="1"/>
  </cols>
  <sheetData>
    <row r="1" spans="1:10" x14ac:dyDescent="0.45">
      <c r="A1" t="s">
        <v>145</v>
      </c>
    </row>
    <row r="2" spans="1:10" x14ac:dyDescent="0.45">
      <c r="A2" s="8" t="s">
        <v>130</v>
      </c>
      <c r="B2" s="8" t="s">
        <v>131</v>
      </c>
      <c r="C2" s="15" t="s">
        <v>148</v>
      </c>
      <c r="D2" s="8" t="s">
        <v>132</v>
      </c>
      <c r="E2" s="15" t="s">
        <v>156</v>
      </c>
      <c r="F2" s="8" t="s">
        <v>133</v>
      </c>
      <c r="G2" s="15" t="s">
        <v>158</v>
      </c>
      <c r="H2" s="15" t="s">
        <v>160</v>
      </c>
      <c r="I2" s="16" t="s">
        <v>159</v>
      </c>
      <c r="J2" s="16" t="s">
        <v>12</v>
      </c>
    </row>
    <row r="3" spans="1:10" x14ac:dyDescent="0.45">
      <c r="A3" s="8" t="s">
        <v>134</v>
      </c>
      <c r="B3" s="8" t="s">
        <v>135</v>
      </c>
      <c r="C3" s="15" t="s">
        <v>152</v>
      </c>
      <c r="D3" s="8" t="s">
        <v>136</v>
      </c>
      <c r="E3" s="15">
        <v>15</v>
      </c>
      <c r="F3" s="8">
        <v>98.2</v>
      </c>
      <c r="G3" s="18">
        <v>0.68773148148148155</v>
      </c>
      <c r="H3" s="18">
        <v>0.74699074074074068</v>
      </c>
      <c r="I3" s="19">
        <f>IF(RIGHT(C3,1)="1",(H3-G3)-TIME(1,,),H3-G3)</f>
        <v>1.7592592592592458E-2</v>
      </c>
      <c r="J3" s="8" t="str">
        <f>CHOOSE(RIGHT(C3,1),"음식","화장품","의류","과일")</f>
        <v>음식</v>
      </c>
    </row>
    <row r="4" spans="1:10" x14ac:dyDescent="0.45">
      <c r="A4" s="8" t="s">
        <v>137</v>
      </c>
      <c r="B4" s="8" t="s">
        <v>138</v>
      </c>
      <c r="C4" s="15" t="s">
        <v>153</v>
      </c>
      <c r="D4" s="8" t="s">
        <v>139</v>
      </c>
      <c r="E4" s="15">
        <v>13</v>
      </c>
      <c r="F4" s="8">
        <v>78.599999999999994</v>
      </c>
      <c r="G4" s="18">
        <v>0.34756944444444443</v>
      </c>
      <c r="H4" s="18">
        <v>0.80578703703703702</v>
      </c>
      <c r="I4" s="19">
        <f t="shared" ref="I4:I9" si="0">IF(RIGHT(C4,1)="1",(H4-G4)-TIME(1,,),H4-G4)</f>
        <v>0.45821759259259259</v>
      </c>
      <c r="J4" s="15" t="str">
        <f t="shared" ref="J4:J9" si="1">CHOOSE(RIGHT(C4,1),"음식","화장품","의류","과일")</f>
        <v>의류</v>
      </c>
    </row>
    <row r="5" spans="1:10" x14ac:dyDescent="0.45">
      <c r="A5" s="8" t="s">
        <v>140</v>
      </c>
      <c r="B5" s="8" t="s">
        <v>141</v>
      </c>
      <c r="C5" s="15" t="s">
        <v>149</v>
      </c>
      <c r="D5" s="8" t="s">
        <v>139</v>
      </c>
      <c r="E5" s="15">
        <v>10</v>
      </c>
      <c r="F5" s="8">
        <v>85.4</v>
      </c>
      <c r="G5" s="18">
        <v>0.47939814814814818</v>
      </c>
      <c r="H5" s="18">
        <v>0.77129629629629637</v>
      </c>
      <c r="I5" s="19">
        <f t="shared" si="0"/>
        <v>0.29189814814814818</v>
      </c>
      <c r="J5" s="15" t="str">
        <f t="shared" si="1"/>
        <v>화장품</v>
      </c>
    </row>
    <row r="6" spans="1:10" x14ac:dyDescent="0.45">
      <c r="A6" s="8" t="s">
        <v>142</v>
      </c>
      <c r="B6" s="8" t="s">
        <v>143</v>
      </c>
      <c r="C6" s="15" t="s">
        <v>150</v>
      </c>
      <c r="D6" s="8" t="s">
        <v>139</v>
      </c>
      <c r="E6" s="15">
        <v>12</v>
      </c>
      <c r="F6" s="8">
        <v>85.9</v>
      </c>
      <c r="G6" s="18">
        <v>0.51435185185185184</v>
      </c>
      <c r="H6" s="18">
        <v>0.58287037037037037</v>
      </c>
      <c r="I6" s="19">
        <f t="shared" si="0"/>
        <v>2.685185185185187E-2</v>
      </c>
      <c r="J6" s="15" t="str">
        <f t="shared" si="1"/>
        <v>음식</v>
      </c>
    </row>
    <row r="7" spans="1:10" x14ac:dyDescent="0.45">
      <c r="A7" s="8" t="s">
        <v>134</v>
      </c>
      <c r="B7" s="8" t="s">
        <v>135</v>
      </c>
      <c r="C7" s="15" t="s">
        <v>151</v>
      </c>
      <c r="D7" s="8" t="s">
        <v>136</v>
      </c>
      <c r="E7" s="15">
        <v>9</v>
      </c>
      <c r="F7" s="8">
        <v>79.099999999999994</v>
      </c>
      <c r="G7" s="18">
        <v>0.39606481481481487</v>
      </c>
      <c r="H7" s="18">
        <v>0.72268518518518521</v>
      </c>
      <c r="I7" s="19">
        <f t="shared" si="0"/>
        <v>0.32662037037037034</v>
      </c>
      <c r="J7" s="15" t="str">
        <f t="shared" si="1"/>
        <v>화장품</v>
      </c>
    </row>
    <row r="8" spans="1:10" x14ac:dyDescent="0.45">
      <c r="A8" s="8" t="s">
        <v>142</v>
      </c>
      <c r="B8" s="8" t="s">
        <v>143</v>
      </c>
      <c r="C8" s="15" t="s">
        <v>154</v>
      </c>
      <c r="D8" s="8" t="s">
        <v>139</v>
      </c>
      <c r="E8" s="15">
        <v>7</v>
      </c>
      <c r="F8" s="8">
        <v>95.4</v>
      </c>
      <c r="G8" s="18">
        <v>0.56543981481481487</v>
      </c>
      <c r="H8" s="18">
        <v>0.85081018518518514</v>
      </c>
      <c r="I8" s="19">
        <f t="shared" si="0"/>
        <v>0.28537037037037027</v>
      </c>
      <c r="J8" s="15" t="str">
        <f t="shared" si="1"/>
        <v>과일</v>
      </c>
    </row>
    <row r="9" spans="1:10" x14ac:dyDescent="0.45">
      <c r="A9" s="8" t="s">
        <v>134</v>
      </c>
      <c r="B9" s="8" t="s">
        <v>135</v>
      </c>
      <c r="C9" s="15" t="s">
        <v>155</v>
      </c>
      <c r="D9" s="8" t="s">
        <v>136</v>
      </c>
      <c r="E9" s="15">
        <v>18</v>
      </c>
      <c r="F9" s="8">
        <v>93.2</v>
      </c>
      <c r="G9" s="18">
        <v>0.40370370370370368</v>
      </c>
      <c r="H9" s="18">
        <v>0.77106481481481481</v>
      </c>
      <c r="I9" s="19">
        <f t="shared" si="0"/>
        <v>0.36736111111111114</v>
      </c>
      <c r="J9" s="15" t="str">
        <f t="shared" si="1"/>
        <v>의류</v>
      </c>
    </row>
    <row r="11" spans="1:10" x14ac:dyDescent="0.45">
      <c r="A11" s="8" t="s">
        <v>130</v>
      </c>
      <c r="B11" s="8" t="s">
        <v>134</v>
      </c>
      <c r="C11" s="8" t="s">
        <v>140</v>
      </c>
      <c r="D11" s="8" t="s">
        <v>137</v>
      </c>
      <c r="E11" s="8" t="s">
        <v>142</v>
      </c>
      <c r="G11" s="53" t="s">
        <v>146</v>
      </c>
      <c r="H11" s="53"/>
    </row>
    <row r="12" spans="1:10" x14ac:dyDescent="0.45">
      <c r="A12" s="16" t="s">
        <v>144</v>
      </c>
      <c r="B12" s="8" t="str">
        <f>IF(COUNTIF($A$3:$A$9,B11)&gt;=2,"우수","일반")</f>
        <v>우수</v>
      </c>
      <c r="C12" s="8" t="str">
        <f t="shared" ref="C12:E12" si="2">IF(COUNTIF($A$3:$A$9,C11)&gt;=2,"우수","일반")</f>
        <v>일반</v>
      </c>
      <c r="D12" s="8" t="str">
        <f t="shared" si="2"/>
        <v>일반</v>
      </c>
      <c r="E12" s="8" t="str">
        <f t="shared" si="2"/>
        <v>우수</v>
      </c>
      <c r="G12" s="52">
        <f>ROUNDUP(AVERAGE(DMAX(A2:F9,F2,A15:A16),DMAX(A2:F9,F2,B15:B16)),1)</f>
        <v>96.8</v>
      </c>
      <c r="H12" s="52"/>
    </row>
    <row r="14" spans="1:10" x14ac:dyDescent="0.45">
      <c r="A14" s="17" t="s">
        <v>147</v>
      </c>
      <c r="G14" s="53" t="s">
        <v>157</v>
      </c>
      <c r="H14" s="53"/>
    </row>
    <row r="15" spans="1:10" x14ac:dyDescent="0.45">
      <c r="A15" s="15" t="s">
        <v>132</v>
      </c>
      <c r="B15" s="15" t="s">
        <v>132</v>
      </c>
      <c r="G15" s="52">
        <f>COUNTIFS(E3:E9,"&gt;="&amp;LARGE(E3:E9,3),F3:F9,"&gt;="&amp;LARGE(F3:F9,3))</f>
        <v>2</v>
      </c>
      <c r="H15" s="52"/>
    </row>
    <row r="16" spans="1:10" x14ac:dyDescent="0.45">
      <c r="A16" s="15" t="s">
        <v>139</v>
      </c>
      <c r="B16" s="15" t="s">
        <v>136</v>
      </c>
    </row>
  </sheetData>
  <mergeCells count="4">
    <mergeCell ref="G12:H12"/>
    <mergeCell ref="G11:H11"/>
    <mergeCell ref="G15:H15"/>
    <mergeCell ref="G14:H14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7"/>
  <sheetViews>
    <sheetView workbookViewId="0"/>
  </sheetViews>
  <sheetFormatPr defaultRowHeight="17" x14ac:dyDescent="0.45"/>
  <cols>
    <col min="1" max="1" width="11.4140625" bestFit="1" customWidth="1"/>
    <col min="2" max="27" width="14.5" bestFit="1" customWidth="1"/>
    <col min="28" max="29" width="19.1640625" bestFit="1" customWidth="1"/>
  </cols>
  <sheetData>
    <row r="1" spans="1:6" ht="21" x14ac:dyDescent="0.45">
      <c r="A1" s="54" t="s">
        <v>70</v>
      </c>
      <c r="B1" s="54"/>
      <c r="C1" s="54"/>
      <c r="D1" s="54"/>
      <c r="E1" s="54"/>
      <c r="F1" s="54"/>
    </row>
    <row r="3" spans="1:6" x14ac:dyDescent="0.45">
      <c r="A3" s="2" t="s">
        <v>71</v>
      </c>
      <c r="B3" s="2" t="s">
        <v>72</v>
      </c>
      <c r="C3" s="2" t="s">
        <v>73</v>
      </c>
      <c r="D3" s="2" t="s">
        <v>74</v>
      </c>
      <c r="E3" s="2" t="s">
        <v>75</v>
      </c>
      <c r="F3" s="2" t="s">
        <v>76</v>
      </c>
    </row>
    <row r="4" spans="1:6" x14ac:dyDescent="0.45">
      <c r="A4" s="2" t="s">
        <v>77</v>
      </c>
      <c r="B4" s="2" t="s">
        <v>78</v>
      </c>
      <c r="C4" s="2">
        <v>1705</v>
      </c>
      <c r="D4" s="2">
        <v>1977</v>
      </c>
      <c r="E4" s="2">
        <v>13</v>
      </c>
      <c r="F4" s="3">
        <f>E4/D4</f>
        <v>6.5756196256954984E-3</v>
      </c>
    </row>
    <row r="5" spans="1:6" x14ac:dyDescent="0.45">
      <c r="A5" s="2" t="s">
        <v>79</v>
      </c>
      <c r="B5" s="2" t="s">
        <v>80</v>
      </c>
      <c r="C5" s="2">
        <v>2005</v>
      </c>
      <c r="D5" s="2">
        <v>1947</v>
      </c>
      <c r="E5" s="2">
        <v>30</v>
      </c>
      <c r="F5" s="3">
        <f t="shared" ref="F5:F19" si="0">E5/D5</f>
        <v>1.5408320493066256E-2</v>
      </c>
    </row>
    <row r="6" spans="1:6" x14ac:dyDescent="0.45">
      <c r="A6" s="2" t="s">
        <v>81</v>
      </c>
      <c r="B6" s="2" t="s">
        <v>80</v>
      </c>
      <c r="C6" s="2">
        <v>1705</v>
      </c>
      <c r="D6" s="2">
        <v>1777</v>
      </c>
      <c r="E6" s="2">
        <v>22</v>
      </c>
      <c r="F6" s="3">
        <f t="shared" si="0"/>
        <v>1.2380416432189083E-2</v>
      </c>
    </row>
    <row r="7" spans="1:6" x14ac:dyDescent="0.45">
      <c r="A7" s="2" t="s">
        <v>82</v>
      </c>
      <c r="B7" s="2" t="s">
        <v>78</v>
      </c>
      <c r="C7" s="2">
        <v>1505</v>
      </c>
      <c r="D7" s="2">
        <v>1620</v>
      </c>
      <c r="E7" s="2">
        <v>17</v>
      </c>
      <c r="F7" s="3">
        <f t="shared" si="0"/>
        <v>1.0493827160493827E-2</v>
      </c>
    </row>
    <row r="8" spans="1:6" x14ac:dyDescent="0.45">
      <c r="A8" s="2" t="s">
        <v>77</v>
      </c>
      <c r="B8" s="2" t="s">
        <v>78</v>
      </c>
      <c r="C8" s="2">
        <v>2005</v>
      </c>
      <c r="D8" s="2">
        <v>2175</v>
      </c>
      <c r="E8" s="2">
        <v>6</v>
      </c>
      <c r="F8" s="3">
        <f t="shared" si="0"/>
        <v>2.7586206896551722E-3</v>
      </c>
    </row>
    <row r="9" spans="1:6" x14ac:dyDescent="0.45">
      <c r="A9" s="2" t="s">
        <v>81</v>
      </c>
      <c r="B9" s="2" t="s">
        <v>80</v>
      </c>
      <c r="C9" s="2">
        <v>2005</v>
      </c>
      <c r="D9" s="2">
        <v>1926</v>
      </c>
      <c r="E9" s="2">
        <v>9</v>
      </c>
      <c r="F9" s="3">
        <f t="shared" si="0"/>
        <v>4.6728971962616819E-3</v>
      </c>
    </row>
    <row r="10" spans="1:6" x14ac:dyDescent="0.45">
      <c r="A10" s="2" t="s">
        <v>79</v>
      </c>
      <c r="B10" s="2" t="s">
        <v>80</v>
      </c>
      <c r="C10" s="2">
        <v>2005</v>
      </c>
      <c r="D10" s="2">
        <v>2194</v>
      </c>
      <c r="E10" s="2">
        <v>23</v>
      </c>
      <c r="F10" s="3">
        <f t="shared" si="0"/>
        <v>1.0483135824977211E-2</v>
      </c>
    </row>
    <row r="11" spans="1:6" x14ac:dyDescent="0.45">
      <c r="A11" s="2" t="s">
        <v>81</v>
      </c>
      <c r="B11" s="2" t="s">
        <v>80</v>
      </c>
      <c r="C11" s="2">
        <v>2005</v>
      </c>
      <c r="D11" s="2">
        <v>1720</v>
      </c>
      <c r="E11" s="2">
        <v>29</v>
      </c>
      <c r="F11" s="3">
        <f t="shared" si="0"/>
        <v>1.6860465116279071E-2</v>
      </c>
    </row>
    <row r="12" spans="1:6" x14ac:dyDescent="0.45">
      <c r="A12" s="2" t="s">
        <v>77</v>
      </c>
      <c r="B12" s="2" t="s">
        <v>78</v>
      </c>
      <c r="C12" s="2">
        <v>2205</v>
      </c>
      <c r="D12" s="2">
        <v>2041</v>
      </c>
      <c r="E12" s="2">
        <v>15</v>
      </c>
      <c r="F12" s="3">
        <f t="shared" si="0"/>
        <v>7.3493385595296426E-3</v>
      </c>
    </row>
    <row r="13" spans="1:6" x14ac:dyDescent="0.45">
      <c r="A13" s="2" t="s">
        <v>81</v>
      </c>
      <c r="B13" s="2" t="s">
        <v>80</v>
      </c>
      <c r="C13" s="2">
        <v>1905</v>
      </c>
      <c r="D13" s="2">
        <v>1726</v>
      </c>
      <c r="E13" s="2">
        <v>7</v>
      </c>
      <c r="F13" s="3">
        <f t="shared" si="0"/>
        <v>4.0556199304750866E-3</v>
      </c>
    </row>
    <row r="14" spans="1:6" x14ac:dyDescent="0.45">
      <c r="A14" s="2" t="s">
        <v>82</v>
      </c>
      <c r="B14" s="2" t="s">
        <v>78</v>
      </c>
      <c r="C14" s="2">
        <v>1705</v>
      </c>
      <c r="D14" s="2">
        <v>1755</v>
      </c>
      <c r="E14" s="2">
        <v>15</v>
      </c>
      <c r="F14" s="3">
        <f t="shared" si="0"/>
        <v>8.5470085470085479E-3</v>
      </c>
    </row>
    <row r="15" spans="1:6" x14ac:dyDescent="0.45">
      <c r="A15" s="2" t="s">
        <v>79</v>
      </c>
      <c r="B15" s="2" t="s">
        <v>80</v>
      </c>
      <c r="C15" s="2">
        <v>2205</v>
      </c>
      <c r="D15" s="2">
        <v>2077</v>
      </c>
      <c r="E15" s="2">
        <v>20</v>
      </c>
      <c r="F15" s="3">
        <f t="shared" si="0"/>
        <v>9.6292729898892638E-3</v>
      </c>
    </row>
    <row r="16" spans="1:6" x14ac:dyDescent="0.45">
      <c r="A16" s="2" t="s">
        <v>77</v>
      </c>
      <c r="B16" s="2" t="s">
        <v>78</v>
      </c>
      <c r="C16" s="2">
        <v>2005</v>
      </c>
      <c r="D16" s="2">
        <v>2062</v>
      </c>
      <c r="E16" s="2">
        <v>12</v>
      </c>
      <c r="F16" s="3">
        <f t="shared" si="0"/>
        <v>5.8195926285160042E-3</v>
      </c>
    </row>
    <row r="17" spans="1:6" x14ac:dyDescent="0.45">
      <c r="A17" s="2" t="s">
        <v>79</v>
      </c>
      <c r="B17" s="2" t="s">
        <v>80</v>
      </c>
      <c r="C17" s="2">
        <v>2005</v>
      </c>
      <c r="D17" s="2">
        <v>2114</v>
      </c>
      <c r="E17" s="2">
        <v>7</v>
      </c>
      <c r="F17" s="3">
        <f t="shared" si="0"/>
        <v>3.3112582781456954E-3</v>
      </c>
    </row>
    <row r="18" spans="1:6" x14ac:dyDescent="0.45">
      <c r="A18" s="2" t="s">
        <v>82</v>
      </c>
      <c r="B18" s="2" t="s">
        <v>78</v>
      </c>
      <c r="C18" s="2">
        <v>1705</v>
      </c>
      <c r="D18" s="2">
        <v>1757</v>
      </c>
      <c r="E18" s="2">
        <v>8</v>
      </c>
      <c r="F18" s="3">
        <f t="shared" si="0"/>
        <v>4.5532157085941948E-3</v>
      </c>
    </row>
    <row r="19" spans="1:6" x14ac:dyDescent="0.45">
      <c r="A19" s="2" t="s">
        <v>83</v>
      </c>
      <c r="B19" s="2" t="s">
        <v>78</v>
      </c>
      <c r="C19" s="2">
        <v>1500</v>
      </c>
      <c r="D19" s="2">
        <v>1350</v>
      </c>
      <c r="E19" s="2">
        <v>15</v>
      </c>
      <c r="F19" s="3">
        <f t="shared" si="0"/>
        <v>1.1111111111111112E-2</v>
      </c>
    </row>
    <row r="22" spans="1:6" x14ac:dyDescent="0.45">
      <c r="A22" s="31" t="s">
        <v>171</v>
      </c>
      <c r="B22" t="s">
        <v>172</v>
      </c>
    </row>
    <row r="24" spans="1:6" x14ac:dyDescent="0.45">
      <c r="A24" s="31" t="s">
        <v>173</v>
      </c>
      <c r="B24" t="s">
        <v>175</v>
      </c>
      <c r="C24" t="s">
        <v>176</v>
      </c>
      <c r="D24" t="s">
        <v>177</v>
      </c>
    </row>
    <row r="25" spans="1:6" x14ac:dyDescent="0.45">
      <c r="A25" s="32" t="s">
        <v>78</v>
      </c>
      <c r="B25" s="33">
        <v>101</v>
      </c>
      <c r="C25" s="34">
        <v>1791.875</v>
      </c>
      <c r="D25" s="34">
        <v>1842.125</v>
      </c>
    </row>
    <row r="26" spans="1:6" x14ac:dyDescent="0.45">
      <c r="A26" s="32" t="s">
        <v>80</v>
      </c>
      <c r="B26" s="33">
        <v>147</v>
      </c>
      <c r="C26" s="34">
        <v>1980</v>
      </c>
      <c r="D26" s="34">
        <v>1935.125</v>
      </c>
    </row>
    <row r="27" spans="1:6" x14ac:dyDescent="0.45">
      <c r="A27" s="32" t="s">
        <v>174</v>
      </c>
      <c r="B27" s="33">
        <v>248</v>
      </c>
      <c r="C27" s="34">
        <v>1885.9375</v>
      </c>
      <c r="D27" s="34">
        <v>1888.625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F831C-4EBF-4DF4-B80E-B925CEF9095F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10.4140625" bestFit="1" customWidth="1"/>
    <col min="4" max="6" width="12.33203125" bestFit="1" customWidth="1" outlineLevel="1"/>
  </cols>
  <sheetData>
    <row r="1" spans="2:6" ht="17.5" thickBot="1" x14ac:dyDescent="0.5"/>
    <row r="2" spans="2:6" x14ac:dyDescent="0.45">
      <c r="B2" s="39" t="s">
        <v>182</v>
      </c>
      <c r="C2" s="40"/>
      <c r="D2" s="46"/>
      <c r="E2" s="46"/>
      <c r="F2" s="46"/>
    </row>
    <row r="3" spans="2:6" collapsed="1" x14ac:dyDescent="0.45">
      <c r="B3" s="38"/>
      <c r="C3" s="38"/>
      <c r="D3" s="47" t="s">
        <v>184</v>
      </c>
      <c r="E3" s="47" t="s">
        <v>180</v>
      </c>
      <c r="F3" s="47" t="s">
        <v>181</v>
      </c>
    </row>
    <row r="4" spans="2:6" hidden="1" outlineLevel="1" x14ac:dyDescent="0.45">
      <c r="B4" s="42"/>
      <c r="C4" s="42"/>
      <c r="D4" s="35"/>
      <c r="E4" s="49"/>
      <c r="F4" s="49"/>
    </row>
    <row r="5" spans="2:6" x14ac:dyDescent="0.45">
      <c r="B5" s="43" t="s">
        <v>183</v>
      </c>
      <c r="C5" s="44"/>
      <c r="D5" s="41"/>
      <c r="E5" s="41"/>
      <c r="F5" s="41"/>
    </row>
    <row r="6" spans="2:6" outlineLevel="1" x14ac:dyDescent="0.45">
      <c r="B6" s="42"/>
      <c r="C6" s="42" t="s">
        <v>178</v>
      </c>
      <c r="D6" s="36">
        <v>0.2</v>
      </c>
      <c r="E6" s="48">
        <v>0.25</v>
      </c>
      <c r="F6" s="48">
        <v>0.15</v>
      </c>
    </row>
    <row r="7" spans="2:6" x14ac:dyDescent="0.45">
      <c r="B7" s="43" t="s">
        <v>185</v>
      </c>
      <c r="C7" s="44"/>
      <c r="D7" s="41"/>
      <c r="E7" s="41"/>
      <c r="F7" s="41"/>
    </row>
    <row r="8" spans="2:6" ht="17.5" outlineLevel="1" thickBot="1" x14ac:dyDescent="0.5">
      <c r="B8" s="45"/>
      <c r="C8" s="45" t="s">
        <v>179</v>
      </c>
      <c r="D8" s="37">
        <v>44322</v>
      </c>
      <c r="E8" s="37">
        <v>55402.5</v>
      </c>
      <c r="F8" s="37">
        <v>33241.5</v>
      </c>
    </row>
    <row r="9" spans="2:6" x14ac:dyDescent="0.45">
      <c r="B9" t="s">
        <v>186</v>
      </c>
    </row>
    <row r="10" spans="2:6" x14ac:dyDescent="0.45">
      <c r="B10" t="s">
        <v>187</v>
      </c>
    </row>
    <row r="11" spans="2:6" x14ac:dyDescent="0.45">
      <c r="B11" t="s">
        <v>188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"/>
  <sheetViews>
    <sheetView workbookViewId="0"/>
  </sheetViews>
  <sheetFormatPr defaultRowHeight="17" x14ac:dyDescent="0.45"/>
  <sheetData>
    <row r="1" spans="1:9" ht="21" x14ac:dyDescent="0.45">
      <c r="A1" s="54" t="s">
        <v>84</v>
      </c>
      <c r="B1" s="54"/>
      <c r="C1" s="54"/>
      <c r="D1" s="54"/>
      <c r="E1" s="54"/>
      <c r="F1" s="54"/>
      <c r="G1" s="54"/>
    </row>
    <row r="2" spans="1:9" x14ac:dyDescent="0.45">
      <c r="G2" s="4" t="s">
        <v>85</v>
      </c>
    </row>
    <row r="3" spans="1:9" x14ac:dyDescent="0.45">
      <c r="A3" s="2" t="s">
        <v>86</v>
      </c>
      <c r="B3" s="2" t="s">
        <v>87</v>
      </c>
      <c r="C3" s="2" t="s">
        <v>88</v>
      </c>
      <c r="D3" s="2" t="s">
        <v>89</v>
      </c>
      <c r="E3" s="2" t="s">
        <v>90</v>
      </c>
      <c r="F3" s="2" t="s">
        <v>91</v>
      </c>
      <c r="G3" s="2" t="s">
        <v>92</v>
      </c>
      <c r="I3" s="2" t="s">
        <v>93</v>
      </c>
    </row>
    <row r="4" spans="1:9" x14ac:dyDescent="0.45">
      <c r="A4" s="55" t="s">
        <v>94</v>
      </c>
      <c r="B4" s="2" t="s">
        <v>95</v>
      </c>
      <c r="C4" s="5">
        <v>120</v>
      </c>
      <c r="D4" s="5">
        <v>72</v>
      </c>
      <c r="E4" s="5">
        <v>220</v>
      </c>
      <c r="F4" s="5">
        <f>D4*E4</f>
        <v>15840</v>
      </c>
      <c r="G4" s="6">
        <f>F4*$I$4</f>
        <v>3168</v>
      </c>
      <c r="I4" s="7">
        <v>0.2</v>
      </c>
    </row>
    <row r="5" spans="1:9" x14ac:dyDescent="0.45">
      <c r="A5" s="56"/>
      <c r="B5" s="2" t="s">
        <v>96</v>
      </c>
      <c r="C5" s="5">
        <v>150</v>
      </c>
      <c r="D5" s="5">
        <v>128</v>
      </c>
      <c r="E5" s="5">
        <v>110</v>
      </c>
      <c r="F5" s="5">
        <f t="shared" ref="F5:F15" si="0">D5*E5</f>
        <v>14080</v>
      </c>
      <c r="G5" s="6">
        <f t="shared" ref="G5:G15" si="1">F5*$I$4</f>
        <v>2816</v>
      </c>
    </row>
    <row r="6" spans="1:9" x14ac:dyDescent="0.45">
      <c r="A6" s="56"/>
      <c r="B6" s="2" t="s">
        <v>97</v>
      </c>
      <c r="C6" s="5">
        <v>200</v>
      </c>
      <c r="D6" s="5">
        <v>142</v>
      </c>
      <c r="E6" s="5">
        <v>130</v>
      </c>
      <c r="F6" s="5">
        <f t="shared" si="0"/>
        <v>18460</v>
      </c>
      <c r="G6" s="6">
        <f t="shared" si="1"/>
        <v>3692</v>
      </c>
    </row>
    <row r="7" spans="1:9" x14ac:dyDescent="0.45">
      <c r="A7" s="57"/>
      <c r="B7" s="2" t="s">
        <v>98</v>
      </c>
      <c r="C7" s="5">
        <v>120</v>
      </c>
      <c r="D7" s="5">
        <v>84</v>
      </c>
      <c r="E7" s="5">
        <v>125</v>
      </c>
      <c r="F7" s="5">
        <f t="shared" si="0"/>
        <v>10500</v>
      </c>
      <c r="G7" s="6">
        <f t="shared" si="1"/>
        <v>2100</v>
      </c>
    </row>
    <row r="8" spans="1:9" x14ac:dyDescent="0.45">
      <c r="A8" s="55" t="s">
        <v>99</v>
      </c>
      <c r="B8" s="2" t="s">
        <v>95</v>
      </c>
      <c r="C8" s="5">
        <v>150</v>
      </c>
      <c r="D8" s="5">
        <v>99</v>
      </c>
      <c r="E8" s="5">
        <v>220</v>
      </c>
      <c r="F8" s="5">
        <f t="shared" si="0"/>
        <v>21780</v>
      </c>
      <c r="G8" s="6">
        <f t="shared" si="1"/>
        <v>4356</v>
      </c>
    </row>
    <row r="9" spans="1:9" x14ac:dyDescent="0.45">
      <c r="A9" s="56"/>
      <c r="B9" s="2" t="s">
        <v>96</v>
      </c>
      <c r="C9" s="5">
        <v>200</v>
      </c>
      <c r="D9" s="5">
        <v>111</v>
      </c>
      <c r="E9" s="5">
        <v>110</v>
      </c>
      <c r="F9" s="5">
        <f t="shared" si="0"/>
        <v>12210</v>
      </c>
      <c r="G9" s="6">
        <f t="shared" si="1"/>
        <v>2442</v>
      </c>
    </row>
    <row r="10" spans="1:9" x14ac:dyDescent="0.45">
      <c r="A10" s="56"/>
      <c r="B10" s="2" t="s">
        <v>97</v>
      </c>
      <c r="C10" s="5">
        <v>250</v>
      </c>
      <c r="D10" s="5">
        <v>201</v>
      </c>
      <c r="E10" s="5">
        <v>130</v>
      </c>
      <c r="F10" s="5">
        <f t="shared" si="0"/>
        <v>26130</v>
      </c>
      <c r="G10" s="6">
        <f t="shared" si="1"/>
        <v>5226</v>
      </c>
    </row>
    <row r="11" spans="1:9" x14ac:dyDescent="0.45">
      <c r="A11" s="57"/>
      <c r="B11" s="2" t="s">
        <v>98</v>
      </c>
      <c r="C11" s="5">
        <v>200</v>
      </c>
      <c r="D11" s="5">
        <v>139</v>
      </c>
      <c r="E11" s="5">
        <v>125</v>
      </c>
      <c r="F11" s="5">
        <f t="shared" si="0"/>
        <v>17375</v>
      </c>
      <c r="G11" s="6">
        <f t="shared" si="1"/>
        <v>3475</v>
      </c>
    </row>
    <row r="12" spans="1:9" x14ac:dyDescent="0.45">
      <c r="A12" s="55" t="s">
        <v>100</v>
      </c>
      <c r="B12" s="2" t="s">
        <v>95</v>
      </c>
      <c r="C12" s="5">
        <v>150</v>
      </c>
      <c r="D12" s="5">
        <v>109</v>
      </c>
      <c r="E12" s="5">
        <v>220</v>
      </c>
      <c r="F12" s="5">
        <f t="shared" si="0"/>
        <v>23980</v>
      </c>
      <c r="G12" s="6">
        <f t="shared" si="1"/>
        <v>4796</v>
      </c>
    </row>
    <row r="13" spans="1:9" x14ac:dyDescent="0.45">
      <c r="A13" s="56"/>
      <c r="B13" s="2" t="s">
        <v>96</v>
      </c>
      <c r="C13" s="5">
        <v>120</v>
      </c>
      <c r="D13" s="5">
        <v>92</v>
      </c>
      <c r="E13" s="5">
        <v>110</v>
      </c>
      <c r="F13" s="5">
        <f t="shared" si="0"/>
        <v>10120</v>
      </c>
      <c r="G13" s="6">
        <f t="shared" si="1"/>
        <v>2024</v>
      </c>
    </row>
    <row r="14" spans="1:9" x14ac:dyDescent="0.45">
      <c r="A14" s="56"/>
      <c r="B14" s="2" t="s">
        <v>97</v>
      </c>
      <c r="C14" s="5">
        <v>150</v>
      </c>
      <c r="D14" s="5">
        <v>77</v>
      </c>
      <c r="E14" s="5">
        <v>130</v>
      </c>
      <c r="F14" s="5">
        <f t="shared" si="0"/>
        <v>10010</v>
      </c>
      <c r="G14" s="6">
        <f t="shared" si="1"/>
        <v>2002</v>
      </c>
    </row>
    <row r="15" spans="1:9" x14ac:dyDescent="0.45">
      <c r="A15" s="57"/>
      <c r="B15" s="2" t="s">
        <v>98</v>
      </c>
      <c r="C15" s="5">
        <v>200</v>
      </c>
      <c r="D15" s="5">
        <v>175</v>
      </c>
      <c r="E15" s="5">
        <v>235</v>
      </c>
      <c r="F15" s="5">
        <f t="shared" si="0"/>
        <v>41125</v>
      </c>
      <c r="G15" s="6">
        <f t="shared" si="1"/>
        <v>8225</v>
      </c>
    </row>
    <row r="16" spans="1:9" x14ac:dyDescent="0.45">
      <c r="A16" s="52" t="s">
        <v>101</v>
      </c>
      <c r="B16" s="52"/>
      <c r="C16" s="6">
        <f>SUM(C4:C15)</f>
        <v>2010</v>
      </c>
      <c r="D16" s="6">
        <f>SUM(D4:D15)</f>
        <v>1429</v>
      </c>
      <c r="E16" s="6">
        <f>SUM(E4:E15)</f>
        <v>1865</v>
      </c>
      <c r="F16" s="6">
        <f>SUM(F4:F15)</f>
        <v>221610</v>
      </c>
      <c r="G16" s="6">
        <f>SUM(G4:G15)</f>
        <v>44322</v>
      </c>
    </row>
  </sheetData>
  <scenarios current="0" sqref="G16">
    <scenario name="순이익율증가" locked="1" count="1" user="User">
      <inputCells r="I4" val="0.25" numFmtId="9"/>
    </scenario>
    <scenario name="순이익율감소" locked="1" count="1" user="User">
      <inputCells r="I4" val="0.15" numFmtId="9"/>
    </scenario>
  </scenarios>
  <mergeCells count="5">
    <mergeCell ref="A16:B16"/>
    <mergeCell ref="A1:G1"/>
    <mergeCell ref="A4:A7"/>
    <mergeCell ref="A8:A11"/>
    <mergeCell ref="A12:A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/>
  </sheetViews>
  <sheetFormatPr defaultRowHeight="17" x14ac:dyDescent="0.45"/>
  <cols>
    <col min="1" max="1" width="19.6640625" bestFit="1" customWidth="1"/>
    <col min="2" max="4" width="8.6640625" style="9"/>
    <col min="5" max="5" width="10.58203125" style="9" customWidth="1"/>
  </cols>
  <sheetData>
    <row r="1" spans="1:6" x14ac:dyDescent="0.45">
      <c r="A1" t="s">
        <v>115</v>
      </c>
    </row>
    <row r="2" spans="1:6" x14ac:dyDescent="0.45">
      <c r="A2" s="58" t="s">
        <v>68</v>
      </c>
      <c r="B2" s="59" t="s">
        <v>104</v>
      </c>
      <c r="C2" s="59" t="s">
        <v>105</v>
      </c>
      <c r="D2" s="59" t="s">
        <v>65</v>
      </c>
      <c r="E2" s="59" t="s">
        <v>102</v>
      </c>
      <c r="F2" s="58" t="s">
        <v>103</v>
      </c>
    </row>
    <row r="3" spans="1:6" x14ac:dyDescent="0.45">
      <c r="A3" s="1" t="s">
        <v>106</v>
      </c>
      <c r="B3" s="6">
        <v>24450</v>
      </c>
      <c r="C3" s="6">
        <v>150</v>
      </c>
      <c r="D3" s="6">
        <v>120</v>
      </c>
      <c r="E3" s="6">
        <f>B3*D3</f>
        <v>2934000</v>
      </c>
      <c r="F3" s="60">
        <f>D3/C3</f>
        <v>0.8</v>
      </c>
    </row>
    <row r="4" spans="1:6" x14ac:dyDescent="0.45">
      <c r="A4" s="1" t="s">
        <v>107</v>
      </c>
      <c r="B4" s="6">
        <v>35000</v>
      </c>
      <c r="C4" s="6">
        <v>100</v>
      </c>
      <c r="D4" s="6">
        <v>110</v>
      </c>
      <c r="E4" s="6">
        <f t="shared" ref="E4:E11" si="0">B4*D4</f>
        <v>3850000</v>
      </c>
      <c r="F4" s="60">
        <f t="shared" ref="F4:F11" si="1">D4/C4</f>
        <v>1.1000000000000001</v>
      </c>
    </row>
    <row r="5" spans="1:6" x14ac:dyDescent="0.45">
      <c r="A5" s="1" t="s">
        <v>108</v>
      </c>
      <c r="B5" s="6">
        <v>23900</v>
      </c>
      <c r="C5" s="6">
        <v>65</v>
      </c>
      <c r="D5" s="6">
        <v>58</v>
      </c>
      <c r="E5" s="6">
        <f t="shared" si="0"/>
        <v>1386200</v>
      </c>
      <c r="F5" s="60">
        <f t="shared" si="1"/>
        <v>0.89230769230769236</v>
      </c>
    </row>
    <row r="6" spans="1:6" x14ac:dyDescent="0.45">
      <c r="A6" s="1" t="s">
        <v>109</v>
      </c>
      <c r="B6" s="6">
        <v>49100</v>
      </c>
      <c r="C6" s="6">
        <v>50</v>
      </c>
      <c r="D6" s="6">
        <v>37</v>
      </c>
      <c r="E6" s="6">
        <f t="shared" si="0"/>
        <v>1816700</v>
      </c>
      <c r="F6" s="60">
        <f t="shared" si="1"/>
        <v>0.74</v>
      </c>
    </row>
    <row r="7" spans="1:6" x14ac:dyDescent="0.45">
      <c r="A7" s="1" t="s">
        <v>110</v>
      </c>
      <c r="B7" s="6">
        <v>25630</v>
      </c>
      <c r="C7" s="6">
        <v>250</v>
      </c>
      <c r="D7" s="6">
        <v>350</v>
      </c>
      <c r="E7" s="6">
        <f t="shared" si="0"/>
        <v>8970500</v>
      </c>
      <c r="F7" s="60">
        <f t="shared" si="1"/>
        <v>1.4</v>
      </c>
    </row>
    <row r="8" spans="1:6" x14ac:dyDescent="0.45">
      <c r="A8" s="1" t="s">
        <v>111</v>
      </c>
      <c r="B8" s="6">
        <v>12890</v>
      </c>
      <c r="C8" s="6">
        <v>80</v>
      </c>
      <c r="D8" s="6">
        <v>100</v>
      </c>
      <c r="E8" s="6">
        <f t="shared" si="0"/>
        <v>1289000</v>
      </c>
      <c r="F8" s="60">
        <f t="shared" si="1"/>
        <v>1.25</v>
      </c>
    </row>
    <row r="9" spans="1:6" x14ac:dyDescent="0.45">
      <c r="A9" s="1" t="s">
        <v>112</v>
      </c>
      <c r="B9" s="6">
        <v>59000</v>
      </c>
      <c r="C9" s="6">
        <v>40</v>
      </c>
      <c r="D9" s="6">
        <v>26</v>
      </c>
      <c r="E9" s="6">
        <f t="shared" si="0"/>
        <v>1534000</v>
      </c>
      <c r="F9" s="60">
        <f t="shared" si="1"/>
        <v>0.65</v>
      </c>
    </row>
    <row r="10" spans="1:6" x14ac:dyDescent="0.45">
      <c r="A10" s="1" t="s">
        <v>113</v>
      </c>
      <c r="B10" s="6">
        <v>190</v>
      </c>
      <c r="C10" s="6">
        <v>1000</v>
      </c>
      <c r="D10" s="6">
        <v>1190</v>
      </c>
      <c r="E10" s="6">
        <f t="shared" si="0"/>
        <v>226100</v>
      </c>
      <c r="F10" s="60">
        <f t="shared" si="1"/>
        <v>1.19</v>
      </c>
    </row>
    <row r="11" spans="1:6" x14ac:dyDescent="0.45">
      <c r="A11" s="1" t="s">
        <v>114</v>
      </c>
      <c r="B11" s="6">
        <v>33850</v>
      </c>
      <c r="C11" s="6">
        <v>95</v>
      </c>
      <c r="D11" s="6">
        <v>87</v>
      </c>
      <c r="E11" s="6">
        <f t="shared" si="0"/>
        <v>2944950</v>
      </c>
      <c r="F11" s="60">
        <f t="shared" si="1"/>
        <v>0.91578947368421049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서식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8"/>
  <sheetViews>
    <sheetView topLeftCell="A9" workbookViewId="0"/>
  </sheetViews>
  <sheetFormatPr defaultRowHeight="17" x14ac:dyDescent="0.45"/>
  <sheetData>
    <row r="1" spans="1:9" x14ac:dyDescent="0.45">
      <c r="A1" s="14" t="s">
        <v>128</v>
      </c>
    </row>
    <row r="3" spans="1:9" x14ac:dyDescent="0.45">
      <c r="A3" s="10"/>
      <c r="B3" s="11" t="s">
        <v>116</v>
      </c>
      <c r="C3" s="11" t="s">
        <v>117</v>
      </c>
      <c r="D3" s="11" t="s">
        <v>118</v>
      </c>
      <c r="E3" s="11" t="s">
        <v>119</v>
      </c>
      <c r="F3" s="11" t="s">
        <v>120</v>
      </c>
      <c r="G3" s="11" t="s">
        <v>121</v>
      </c>
      <c r="H3" s="11" t="s">
        <v>122</v>
      </c>
      <c r="I3" s="11" t="s">
        <v>127</v>
      </c>
    </row>
    <row r="4" spans="1:9" x14ac:dyDescent="0.45">
      <c r="A4" s="12" t="s">
        <v>123</v>
      </c>
      <c r="B4" s="13">
        <v>112.8</v>
      </c>
      <c r="C4" s="13">
        <v>91.699999999999989</v>
      </c>
      <c r="D4" s="13">
        <v>34.4</v>
      </c>
      <c r="E4" s="13">
        <v>108.2</v>
      </c>
      <c r="F4" s="13">
        <v>127.4</v>
      </c>
      <c r="G4" s="13">
        <v>87.7</v>
      </c>
      <c r="H4" s="13">
        <v>154.80000000000001</v>
      </c>
      <c r="I4" s="6">
        <f>AVERAGE(B4:H4)</f>
        <v>102.42857142857143</v>
      </c>
    </row>
    <row r="5" spans="1:9" x14ac:dyDescent="0.45">
      <c r="A5" s="12" t="s">
        <v>124</v>
      </c>
      <c r="B5" s="13">
        <v>421.7</v>
      </c>
      <c r="C5" s="13">
        <v>312.5</v>
      </c>
      <c r="D5" s="13">
        <v>124.5</v>
      </c>
      <c r="E5" s="13">
        <v>181.5</v>
      </c>
      <c r="F5" s="13">
        <v>288</v>
      </c>
      <c r="G5" s="13">
        <v>167.5</v>
      </c>
      <c r="H5" s="13">
        <v>236.7</v>
      </c>
      <c r="I5" s="6">
        <f t="shared" ref="I5:I7" si="0">AVERAGE(B5:H5)</f>
        <v>247.48571428571429</v>
      </c>
    </row>
    <row r="6" spans="1:9" x14ac:dyDescent="0.45">
      <c r="A6" s="12" t="s">
        <v>125</v>
      </c>
      <c r="B6" s="13">
        <v>1018.5999999999999</v>
      </c>
      <c r="C6" s="13">
        <v>1018.8999999999999</v>
      </c>
      <c r="D6" s="13">
        <v>346.3</v>
      </c>
      <c r="E6" s="13">
        <v>364.59999999999997</v>
      </c>
      <c r="F6" s="13">
        <v>484.1</v>
      </c>
      <c r="G6" s="13">
        <v>390.5</v>
      </c>
      <c r="H6" s="13">
        <v>539.1</v>
      </c>
      <c r="I6" s="6">
        <f t="shared" si="0"/>
        <v>594.58571428571418</v>
      </c>
    </row>
    <row r="7" spans="1:9" x14ac:dyDescent="0.45">
      <c r="A7" s="12" t="s">
        <v>126</v>
      </c>
      <c r="B7" s="13">
        <v>216.5</v>
      </c>
      <c r="C7" s="13">
        <v>190.99999999999997</v>
      </c>
      <c r="D7" s="13">
        <v>72.3</v>
      </c>
      <c r="E7" s="13">
        <v>92.1</v>
      </c>
      <c r="F7" s="13">
        <v>75.5</v>
      </c>
      <c r="G7" s="13">
        <v>85</v>
      </c>
      <c r="H7" s="13">
        <v>141.30000000000001</v>
      </c>
      <c r="I7" s="6">
        <f t="shared" si="0"/>
        <v>124.81428571428572</v>
      </c>
    </row>
    <row r="8" spans="1:9" x14ac:dyDescent="0.45">
      <c r="A8" s="12" t="s">
        <v>129</v>
      </c>
      <c r="B8" s="6">
        <f>AVERAGE(B4:B7)</f>
        <v>442.4</v>
      </c>
      <c r="C8" s="6">
        <f t="shared" ref="C8:I8" si="1">AVERAGE(C4:C7)</f>
        <v>403.52499999999998</v>
      </c>
      <c r="D8" s="6">
        <f t="shared" si="1"/>
        <v>144.375</v>
      </c>
      <c r="E8" s="6">
        <f t="shared" si="1"/>
        <v>186.6</v>
      </c>
      <c r="F8" s="6">
        <f t="shared" si="1"/>
        <v>243.75</v>
      </c>
      <c r="G8" s="6">
        <f t="shared" si="1"/>
        <v>182.67500000000001</v>
      </c>
      <c r="H8" s="6">
        <f t="shared" si="1"/>
        <v>267.97500000000002</v>
      </c>
      <c r="I8" s="6">
        <f t="shared" si="1"/>
        <v>267.32857142857142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순이익율</vt:lpstr>
      <vt:lpstr>순이익합계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2023-02-06T06:23:03Z</dcterms:created>
  <dcterms:modified xsi:type="dcterms:W3CDTF">2023-03-22T09:22:51Z</dcterms:modified>
</cp:coreProperties>
</file>