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영진(2026년)\2급\기본서\2026컴활2급\상시기출문제\정답\"/>
    </mc:Choice>
  </mc:AlternateContent>
  <xr:revisionPtr revIDLastSave="0" documentId="13_ncr:1_{B2448914-38CA-4904-A79E-55EE37FE3898}" xr6:coauthVersionLast="47" xr6:coauthVersionMax="47" xr10:uidLastSave="{00000000-0000-0000-0000-000000000000}"/>
  <bookViews>
    <workbookView xWindow="16680" yWindow="1035" windowWidth="18615" windowHeight="12510" tabRatio="899" xr2:uid="{925A5ADD-9389-43EC-B0B6-4A00A02F06B1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8" r:id="rId5"/>
    <sheet name="분석작업-2" sheetId="5" r:id="rId6"/>
    <sheet name="매크로작업" sheetId="6" r:id="rId7"/>
    <sheet name="차트작업" sheetId="10" r:id="rId8"/>
  </sheets>
  <definedNames>
    <definedName name="_xlnm._FilterDatabase" localSheetId="2" hidden="1">'기본작업-3'!$A$3:$I$18</definedName>
    <definedName name="배점">'기본작업-2'!#REF!</definedName>
    <definedName name="제품명">'기본작업-2'!$B$4:$B$11</definedName>
  </definedNames>
  <calcPr calcId="191029"/>
  <pivotCaches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4" l="1"/>
  <c r="J5" i="4"/>
  <c r="J6" i="4"/>
  <c r="J7" i="4"/>
  <c r="J8" i="4"/>
  <c r="J9" i="4"/>
  <c r="J3" i="4"/>
  <c r="K20" i="4"/>
  <c r="K21" i="4"/>
  <c r="K22" i="4"/>
  <c r="K23" i="4"/>
  <c r="K24" i="4"/>
  <c r="K25" i="4"/>
  <c r="K26" i="4"/>
  <c r="K19" i="4"/>
  <c r="E29" i="4" a="1"/>
  <c r="E29" i="4" s="1"/>
  <c r="E30" i="4" a="1"/>
  <c r="E30" i="4"/>
  <c r="E31" i="4" a="1"/>
  <c r="E31" i="4"/>
  <c r="E32" i="4" a="1"/>
  <c r="E32" i="4"/>
  <c r="E33" i="4" a="1"/>
  <c r="E33" i="4" s="1"/>
  <c r="E34" i="4" a="1"/>
  <c r="E34" i="4" s="1"/>
  <c r="E35" i="4" a="1"/>
  <c r="E35" i="4" s="1"/>
  <c r="E36" i="4" a="1"/>
  <c r="E36" i="4" s="1"/>
  <c r="E28" i="4" a="1"/>
  <c r="E28" i="4" s="1"/>
  <c r="D23" i="4"/>
  <c r="D4" i="4"/>
  <c r="D5" i="4"/>
  <c r="D6" i="4"/>
  <c r="D7" i="4"/>
  <c r="D8" i="4"/>
  <c r="D9" i="4"/>
  <c r="D3" i="4"/>
  <c r="F5" i="6"/>
  <c r="F6" i="6"/>
  <c r="F7" i="6"/>
  <c r="F8" i="6"/>
  <c r="F9" i="6"/>
  <c r="F10" i="6"/>
  <c r="F11" i="6"/>
  <c r="F12" i="6"/>
  <c r="F13" i="6"/>
  <c r="F14" i="6"/>
  <c r="F15" i="6"/>
  <c r="F4" i="6"/>
  <c r="G24" i="8"/>
  <c r="D24" i="8"/>
  <c r="G22" i="8"/>
  <c r="D22" i="8"/>
  <c r="G17" i="8"/>
  <c r="D17" i="8"/>
  <c r="G12" i="8"/>
  <c r="D12" i="8"/>
  <c r="G8" i="8"/>
  <c r="D8" i="8"/>
  <c r="A23" i="8"/>
  <c r="A18" i="8"/>
  <c r="A13" i="8"/>
  <c r="A9" i="8"/>
  <c r="A25" i="8" s="1"/>
  <c r="F1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<sst xmlns="http://schemas.openxmlformats.org/spreadsheetml/2006/main" count="390" uniqueCount="286">
  <si>
    <t>합계</t>
    <phoneticPr fontId="2" type="noConversion"/>
  </si>
  <si>
    <t>[표2]</t>
    <phoneticPr fontId="2" type="noConversion"/>
  </si>
  <si>
    <t>성명</t>
    <phoneticPr fontId="2" type="noConversion"/>
  </si>
  <si>
    <t>광주</t>
    <phoneticPr fontId="2" type="noConversion"/>
  </si>
  <si>
    <t>김미정</t>
    <phoneticPr fontId="2" type="noConversion"/>
  </si>
  <si>
    <t>서울</t>
    <phoneticPr fontId="2" type="noConversion"/>
  </si>
  <si>
    <t>서진수</t>
    <phoneticPr fontId="2" type="noConversion"/>
  </si>
  <si>
    <t>박주영</t>
    <phoneticPr fontId="2" type="noConversion"/>
  </si>
  <si>
    <t>부산</t>
    <phoneticPr fontId="2" type="noConversion"/>
  </si>
  <si>
    <t>원영현</t>
    <phoneticPr fontId="2" type="noConversion"/>
  </si>
  <si>
    <t>인천</t>
    <phoneticPr fontId="2" type="noConversion"/>
  </si>
  <si>
    <t>오선영</t>
    <phoneticPr fontId="2" type="noConversion"/>
  </si>
  <si>
    <t>제주</t>
    <phoneticPr fontId="2" type="noConversion"/>
  </si>
  <si>
    <t>최은미</t>
    <phoneticPr fontId="2" type="noConversion"/>
  </si>
  <si>
    <t>대전</t>
    <phoneticPr fontId="2" type="noConversion"/>
  </si>
  <si>
    <t>박진희</t>
    <phoneticPr fontId="2" type="noConversion"/>
  </si>
  <si>
    <t>[표4]</t>
    <phoneticPr fontId="2" type="noConversion"/>
  </si>
  <si>
    <t>[표5]</t>
    <phoneticPr fontId="2" type="noConversion"/>
  </si>
  <si>
    <t>구분</t>
    <phoneticPr fontId="2" type="noConversion"/>
  </si>
  <si>
    <t>대학 학과별 학생 및 교원 현황</t>
  </si>
  <si>
    <t>제품명</t>
  </si>
  <si>
    <t>판매량</t>
  </si>
  <si>
    <t>재고량</t>
  </si>
  <si>
    <t>가격</t>
  </si>
  <si>
    <t>제품코드</t>
  </si>
  <si>
    <t>총매출</t>
  </si>
  <si>
    <t>P-9707</t>
  </si>
  <si>
    <t>노트북</t>
  </si>
  <si>
    <t>P-2163</t>
  </si>
  <si>
    <t>데스크탑</t>
  </si>
  <si>
    <t>P-5568</t>
  </si>
  <si>
    <t>모니터</t>
  </si>
  <si>
    <t>P-1587</t>
  </si>
  <si>
    <t>키보드</t>
  </si>
  <si>
    <t>P-9884</t>
  </si>
  <si>
    <t>마우스</t>
  </si>
  <si>
    <t>P-9825</t>
  </si>
  <si>
    <t>프린터</t>
  </si>
  <si>
    <t>P-5200</t>
  </si>
  <si>
    <t>스캐너</t>
  </si>
  <si>
    <t>P-7359</t>
  </si>
  <si>
    <t>헤드셋</t>
  </si>
  <si>
    <t>제품별 판매 현황</t>
    <phoneticPr fontId="2" type="noConversion"/>
  </si>
  <si>
    <t>지역</t>
  </si>
  <si>
    <t>날짜</t>
  </si>
  <si>
    <t>기압 (hPa)</t>
  </si>
  <si>
    <t>강수량 (mm)</t>
  </si>
  <si>
    <t>서울</t>
  </si>
  <si>
    <t>부산</t>
  </si>
  <si>
    <t>대전</t>
  </si>
  <si>
    <t>대구</t>
  </si>
  <si>
    <t>인천</t>
  </si>
  <si>
    <t>광주</t>
  </si>
  <si>
    <t>울산</t>
  </si>
  <si>
    <t>수원</t>
  </si>
  <si>
    <t>강릉</t>
  </si>
  <si>
    <t>제주</t>
  </si>
  <si>
    <t>여수</t>
  </si>
  <si>
    <t>창원</t>
  </si>
  <si>
    <t>원주</t>
  </si>
  <si>
    <t>평택</t>
  </si>
  <si>
    <t>청주</t>
  </si>
  <si>
    <t>기상 데이터 관리</t>
    <phoneticPr fontId="2" type="noConversion"/>
  </si>
  <si>
    <t>[표1]</t>
    <phoneticPr fontId="2" type="noConversion"/>
  </si>
  <si>
    <t>고객ID</t>
    <phoneticPr fontId="2" type="noConversion"/>
  </si>
  <si>
    <t>구매금액</t>
    <phoneticPr fontId="2" type="noConversion"/>
  </si>
  <si>
    <t>가입일</t>
    <phoneticPr fontId="2" type="noConversion"/>
  </si>
  <si>
    <t>A1234</t>
  </si>
  <si>
    <t>B5678</t>
  </si>
  <si>
    <t>D1122</t>
  </si>
  <si>
    <t>E3145</t>
  </si>
  <si>
    <t>F5679</t>
  </si>
  <si>
    <t>A9101</t>
    <phoneticPr fontId="2" type="noConversion"/>
  </si>
  <si>
    <t>A8012</t>
    <phoneticPr fontId="2" type="noConversion"/>
  </si>
  <si>
    <t>도시</t>
    <phoneticPr fontId="2" type="noConversion"/>
  </si>
  <si>
    <t>기온</t>
    <phoneticPr fontId="2" type="noConversion"/>
  </si>
  <si>
    <t>강릉</t>
    <phoneticPr fontId="2" type="noConversion"/>
  </si>
  <si>
    <t>대구</t>
    <phoneticPr fontId="2" type="noConversion"/>
  </si>
  <si>
    <t>강수확률(%)</t>
    <phoneticPr fontId="2" type="noConversion"/>
  </si>
  <si>
    <t>풍속(m/s)</t>
    <phoneticPr fontId="2" type="noConversion"/>
  </si>
  <si>
    <t>강수확률/풍속 개수</t>
    <phoneticPr fontId="2" type="noConversion"/>
  </si>
  <si>
    <t>일반</t>
    <phoneticPr fontId="2" type="noConversion"/>
  </si>
  <si>
    <t>학생</t>
    <phoneticPr fontId="2" type="noConversion"/>
  </si>
  <si>
    <t>전기자전거</t>
    <phoneticPr fontId="2" type="noConversion"/>
  </si>
  <si>
    <t>정기권구분</t>
    <phoneticPr fontId="2" type="noConversion"/>
  </si>
  <si>
    <t>개월</t>
    <phoneticPr fontId="2" type="noConversion"/>
  </si>
  <si>
    <t>학생정기권</t>
    <phoneticPr fontId="2" type="noConversion"/>
  </si>
  <si>
    <t>일반정기권</t>
    <phoneticPr fontId="2" type="noConversion"/>
  </si>
  <si>
    <t>전기</t>
    <phoneticPr fontId="2" type="noConversion"/>
  </si>
  <si>
    <t>대여금액</t>
    <phoneticPr fontId="2" type="noConversion"/>
  </si>
  <si>
    <t>자전거요금표</t>
    <phoneticPr fontId="2" type="noConversion"/>
  </si>
  <si>
    <t>김철수</t>
  </si>
  <si>
    <t>김철수</t>
    <phoneticPr fontId="2" type="noConversion"/>
  </si>
  <si>
    <t>박영희</t>
  </si>
  <si>
    <t>박영희</t>
    <phoneticPr fontId="2" type="noConversion"/>
  </si>
  <si>
    <t>이민수</t>
  </si>
  <si>
    <t>이민수</t>
    <phoneticPr fontId="2" type="noConversion"/>
  </si>
  <si>
    <t>최지훈</t>
  </si>
  <si>
    <t>최지훈</t>
    <phoneticPr fontId="2" type="noConversion"/>
  </si>
  <si>
    <t>장은영</t>
  </si>
  <si>
    <t>장은영</t>
    <phoneticPr fontId="2" type="noConversion"/>
  </si>
  <si>
    <t>윤도현</t>
  </si>
  <si>
    <t>강민호</t>
  </si>
  <si>
    <t>강민호</t>
    <phoneticPr fontId="2" type="noConversion"/>
  </si>
  <si>
    <t>오상지</t>
    <phoneticPr fontId="2" type="noConversion"/>
  </si>
  <si>
    <t>운전자</t>
    <phoneticPr fontId="2" type="noConversion"/>
  </si>
  <si>
    <t>박철호</t>
    <phoneticPr fontId="2" type="noConversion"/>
  </si>
  <si>
    <t>한지수</t>
  </si>
  <si>
    <t>한지수</t>
    <phoneticPr fontId="2" type="noConversion"/>
  </si>
  <si>
    <t>단속장소</t>
    <phoneticPr fontId="2" type="noConversion"/>
  </si>
  <si>
    <t>강남역</t>
    <phoneticPr fontId="2" type="noConversion"/>
  </si>
  <si>
    <t>홍대입구</t>
    <phoneticPr fontId="2" type="noConversion"/>
  </si>
  <si>
    <t>서울역</t>
    <phoneticPr fontId="2" type="noConversion"/>
  </si>
  <si>
    <t>신촌</t>
    <phoneticPr fontId="2" type="noConversion"/>
  </si>
  <si>
    <t>강북구청</t>
    <phoneticPr fontId="2" type="noConversion"/>
  </si>
  <si>
    <t>합정역</t>
    <phoneticPr fontId="2" type="noConversion"/>
  </si>
  <si>
    <t>종로3가</t>
    <phoneticPr fontId="2" type="noConversion"/>
  </si>
  <si>
    <t>인천공항</t>
    <phoneticPr fontId="2" type="noConversion"/>
  </si>
  <si>
    <t>노원구청</t>
    <phoneticPr fontId="2" type="noConversion"/>
  </si>
  <si>
    <t>단속시간</t>
    <phoneticPr fontId="2" type="noConversion"/>
  </si>
  <si>
    <t>혈중알코올
농도(%)</t>
    <phoneticPr fontId="2" type="noConversion"/>
  </si>
  <si>
    <t>처벌기준</t>
    <phoneticPr fontId="2" type="noConversion"/>
  </si>
  <si>
    <t>[표3]</t>
    <phoneticPr fontId="2" type="noConversion"/>
  </si>
  <si>
    <t>고객번호</t>
    <phoneticPr fontId="2" type="noConversion"/>
  </si>
  <si>
    <t>나이</t>
    <phoneticPr fontId="2" type="noConversion"/>
  </si>
  <si>
    <t>주소</t>
    <phoneticPr fontId="2" type="noConversion"/>
  </si>
  <si>
    <t>청구금액</t>
    <phoneticPr fontId="2" type="noConversion"/>
  </si>
  <si>
    <t>C001</t>
  </si>
  <si>
    <t>옥산리</t>
    <phoneticPr fontId="2" type="noConversion"/>
  </si>
  <si>
    <t>시산리</t>
    <phoneticPr fontId="2" type="noConversion"/>
  </si>
  <si>
    <t>쌍계리</t>
    <phoneticPr fontId="2" type="noConversion"/>
  </si>
  <si>
    <t>금평리</t>
    <phoneticPr fontId="2" type="noConversion"/>
  </si>
  <si>
    <t>중안리</t>
    <phoneticPr fontId="2" type="noConversion"/>
  </si>
  <si>
    <t>전암리</t>
    <phoneticPr fontId="2" type="noConversion"/>
  </si>
  <si>
    <t>양산천</t>
    <phoneticPr fontId="2" type="noConversion"/>
  </si>
  <si>
    <t>도고리</t>
    <phoneticPr fontId="2" type="noConversion"/>
  </si>
  <si>
    <t>D125</t>
    <phoneticPr fontId="2" type="noConversion"/>
  </si>
  <si>
    <t>A015</t>
    <phoneticPr fontId="2" type="noConversion"/>
  </si>
  <si>
    <t>B432</t>
    <phoneticPr fontId="2" type="noConversion"/>
  </si>
  <si>
    <t>C113</t>
    <phoneticPr fontId="2" type="noConversion"/>
  </si>
  <si>
    <t>D215</t>
    <phoneticPr fontId="2" type="noConversion"/>
  </si>
  <si>
    <t>A048</t>
    <phoneticPr fontId="2" type="noConversion"/>
  </si>
  <si>
    <t>D073</t>
    <phoneticPr fontId="2" type="noConversion"/>
  </si>
  <si>
    <t>D090</t>
    <phoneticPr fontId="2" type="noConversion"/>
  </si>
  <si>
    <t>사용량(㎥)</t>
    <phoneticPr fontId="2" type="noConversion"/>
  </si>
  <si>
    <t>지역코드</t>
    <phoneticPr fontId="2" type="noConversion"/>
  </si>
  <si>
    <t>점검</t>
    <phoneticPr fontId="2" type="noConversion"/>
  </si>
  <si>
    <t>고객명</t>
  </si>
  <si>
    <t>사용일자</t>
  </si>
  <si>
    <t>C002</t>
  </si>
  <si>
    <t>C003</t>
  </si>
  <si>
    <t>C004</t>
  </si>
  <si>
    <t>C005</t>
  </si>
  <si>
    <t>C006</t>
  </si>
  <si>
    <t>C007</t>
  </si>
  <si>
    <t>C008</t>
  </si>
  <si>
    <t>신예진</t>
  </si>
  <si>
    <t>C009</t>
  </si>
  <si>
    <t>오상진</t>
  </si>
  <si>
    <t>C010</t>
  </si>
  <si>
    <t>설치 위치</t>
  </si>
  <si>
    <t>아파트</t>
  </si>
  <si>
    <t>단독 주택</t>
  </si>
  <si>
    <t>C011</t>
  </si>
  <si>
    <t>최승민</t>
  </si>
  <si>
    <t>C012</t>
  </si>
  <si>
    <t>박진영</t>
  </si>
  <si>
    <t>검사번호</t>
  </si>
  <si>
    <t>검사기관</t>
  </si>
  <si>
    <t>W001</t>
  </si>
  <si>
    <t>질소화합물</t>
  </si>
  <si>
    <t>불량</t>
  </si>
  <si>
    <t>환경청</t>
  </si>
  <si>
    <t>부적합</t>
  </si>
  <si>
    <t>W002</t>
  </si>
  <si>
    <t>중금속</t>
  </si>
  <si>
    <t>양호</t>
  </si>
  <si>
    <t>수질연구소</t>
  </si>
  <si>
    <t>적합</t>
  </si>
  <si>
    <t>W003</t>
  </si>
  <si>
    <t>인공화학물질</t>
  </si>
  <si>
    <t>W004</t>
  </si>
  <si>
    <t>유기물질</t>
  </si>
  <si>
    <t>W005</t>
  </si>
  <si>
    <t>W006</t>
  </si>
  <si>
    <t>W007</t>
  </si>
  <si>
    <t>W008</t>
  </si>
  <si>
    <t>W009</t>
  </si>
  <si>
    <t>W010</t>
  </si>
  <si>
    <t>W011</t>
  </si>
  <si>
    <t>W012</t>
  </si>
  <si>
    <t>수질오염 검사</t>
    <phoneticPr fontId="2" type="noConversion"/>
  </si>
  <si>
    <t>오염농도(mg/L)</t>
    <phoneticPr fontId="2" type="noConversion"/>
  </si>
  <si>
    <t>수질상태</t>
    <phoneticPr fontId="2" type="noConversion"/>
  </si>
  <si>
    <t>종류</t>
  </si>
  <si>
    <t>오염종류</t>
    <phoneticPr fontId="2" type="noConversion"/>
  </si>
  <si>
    <t>pH값</t>
    <phoneticPr fontId="2" type="noConversion"/>
  </si>
  <si>
    <t>적합여부</t>
    <phoneticPr fontId="2" type="noConversion"/>
  </si>
  <si>
    <t>출동번호</t>
  </si>
  <si>
    <t>출동시간</t>
  </si>
  <si>
    <t>출동유형</t>
  </si>
  <si>
    <t>F001</t>
  </si>
  <si>
    <t>화재</t>
  </si>
  <si>
    <t>F002</t>
  </si>
  <si>
    <t>구조</t>
  </si>
  <si>
    <t>F003</t>
  </si>
  <si>
    <t>F004</t>
  </si>
  <si>
    <t>F005</t>
  </si>
  <si>
    <t>F006</t>
  </si>
  <si>
    <t>F007</t>
  </si>
  <si>
    <t>F008</t>
  </si>
  <si>
    <t>F009</t>
  </si>
  <si>
    <t>F010</t>
  </si>
  <si>
    <t>F011</t>
  </si>
  <si>
    <t>F012</t>
  </si>
  <si>
    <t>소요시간</t>
    <phoneticPr fontId="2" type="noConversion"/>
  </si>
  <si>
    <t>출동인원</t>
    <phoneticPr fontId="2" type="noConversion"/>
  </si>
  <si>
    <t>완료시간</t>
    <phoneticPr fontId="2" type="noConversion"/>
  </si>
  <si>
    <t>플라스틱</t>
  </si>
  <si>
    <t>종이류</t>
  </si>
  <si>
    <t>캔고철류</t>
  </si>
  <si>
    <t>불연성</t>
  </si>
  <si>
    <t>일반쓰레기</t>
  </si>
  <si>
    <t>음식물쓰레기</t>
  </si>
  <si>
    <t>비닐류</t>
    <phoneticPr fontId="2" type="noConversion"/>
  </si>
  <si>
    <t>스티리폼</t>
    <phoneticPr fontId="2" type="noConversion"/>
  </si>
  <si>
    <t>2022년</t>
  </si>
  <si>
    <t>2023년</t>
  </si>
  <si>
    <t>2024년</t>
  </si>
  <si>
    <t>2025년</t>
  </si>
  <si>
    <t>(단위:톤)</t>
    <phoneticPr fontId="2" type="noConversion"/>
  </si>
  <si>
    <t>쓰레기 종류별 배출 현황</t>
    <phoneticPr fontId="2" type="noConversion"/>
  </si>
  <si>
    <t>소방출동 현황</t>
    <phoneticPr fontId="2" type="noConversion"/>
  </si>
  <si>
    <t>학과코드</t>
  </si>
  <si>
    <t>학과명</t>
  </si>
  <si>
    <t>전체 학생수</t>
  </si>
  <si>
    <t>전체교원</t>
  </si>
  <si>
    <t>정원/전임(겸임)</t>
  </si>
  <si>
    <t>전임비율</t>
  </si>
  <si>
    <t>FW-54800</t>
  </si>
  <si>
    <t>전자공학과</t>
  </si>
  <si>
    <t>8명</t>
  </si>
  <si>
    <t>8/3(5)</t>
  </si>
  <si>
    <t>LM-46035</t>
  </si>
  <si>
    <t>건축공학과</t>
  </si>
  <si>
    <t>6명</t>
  </si>
  <si>
    <t>6/5(1)</t>
  </si>
  <si>
    <t>SU-87521</t>
  </si>
  <si>
    <t>기계공학과</t>
  </si>
  <si>
    <t>9명</t>
  </si>
  <si>
    <t>9/3(6)</t>
  </si>
  <si>
    <t>AM-86358</t>
  </si>
  <si>
    <t>화학공학과</t>
  </si>
  <si>
    <t>7명</t>
  </si>
  <si>
    <t>7/4(3)</t>
  </si>
  <si>
    <t>LS-14290</t>
  </si>
  <si>
    <t>물리학과</t>
  </si>
  <si>
    <t>6/6(0)</t>
  </si>
  <si>
    <t>RO-43819</t>
  </si>
  <si>
    <t>환경공학과</t>
  </si>
  <si>
    <t>8/7(1)</t>
  </si>
  <si>
    <t>FS-71285</t>
  </si>
  <si>
    <t>수학과</t>
  </si>
  <si>
    <t>총합계</t>
  </si>
  <si>
    <t>합계 : 사용량(㎥)</t>
  </si>
  <si>
    <t>평균 : 청구금액</t>
  </si>
  <si>
    <t>값</t>
  </si>
  <si>
    <t>*</t>
  </si>
  <si>
    <t>서울 개수</t>
  </si>
  <si>
    <t>인천 개수</t>
  </si>
  <si>
    <t>대전 개수</t>
  </si>
  <si>
    <t>부산 개수</t>
  </si>
  <si>
    <t>전체 개수</t>
  </si>
  <si>
    <t>서울 평균</t>
  </si>
  <si>
    <t>인천 평균</t>
  </si>
  <si>
    <t>대전 평균</t>
  </si>
  <si>
    <t>부산 평균</t>
  </si>
  <si>
    <t>전체 평균</t>
  </si>
  <si>
    <t>2026년</t>
  </si>
  <si>
    <t>비고</t>
    <phoneticPr fontId="2" type="noConversion"/>
  </si>
  <si>
    <t>기온(°C)</t>
    <phoneticPr fontId="2" type="noConversion"/>
  </si>
  <si>
    <t>습도(%)</t>
    <phoneticPr fontId="2" type="noConversion"/>
  </si>
  <si>
    <t>바람속도 (m/s)</t>
    <phoneticPr fontId="2" type="noConversion"/>
  </si>
  <si>
    <t>일출시간</t>
    <phoneticPr fontId="2" type="noConversion"/>
  </si>
  <si>
    <t>일몰시간</t>
    <phoneticPr fontId="2" type="noConversion"/>
  </si>
  <si>
    <t>수도 사용량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</si>
</sst>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hh:mm"/>
    <numFmt numFmtId="177" formatCode="#,##0,&quot;천원&quot;"/>
    <numFmt numFmtId="178" formatCode="#,##0&quot;개&quot;"/>
    <numFmt numFmtId="179" formatCode="#,##0_ 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6"/>
      <color theme="1"/>
      <name val="새굴림"/>
      <family val="1"/>
      <charset val="129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/>
      </patternFill>
    </fill>
    <fill>
      <patternFill patternType="solid">
        <fgColor rgb="FF7030A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2" applyFont="1" applyAlignment="1"/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41" fontId="0" fillId="0" borderId="1" xfId="1" applyFont="1" applyBorder="1" applyAlignment="1">
      <alignment horizontal="center" vertical="center"/>
    </xf>
    <xf numFmtId="0" fontId="7" fillId="0" borderId="0" xfId="2" applyFont="1">
      <alignment vertical="center"/>
    </xf>
    <xf numFmtId="0" fontId="7" fillId="0" borderId="0" xfId="2" applyFont="1" applyAlignment="1">
      <alignment horizontal="right" vertical="center"/>
    </xf>
    <xf numFmtId="0" fontId="7" fillId="0" borderId="1" xfId="2" applyFont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41" fontId="7" fillId="0" borderId="0" xfId="3" applyFont="1" applyBorder="1" applyAlignment="1">
      <alignment horizontal="center" vertical="center"/>
    </xf>
    <xf numFmtId="0" fontId="7" fillId="0" borderId="2" xfId="2" applyFont="1" applyBorder="1" applyAlignment="1">
      <alignment horizontal="left" vertical="center"/>
    </xf>
    <xf numFmtId="0" fontId="7" fillId="0" borderId="0" xfId="2" applyFont="1" applyAlignment="1">
      <alignment horizontal="left" vertical="center"/>
    </xf>
    <xf numFmtId="41" fontId="7" fillId="0" borderId="0" xfId="1" applyFont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0" xfId="2" applyFont="1">
      <alignment vertical="center"/>
    </xf>
    <xf numFmtId="41" fontId="0" fillId="0" borderId="0" xfId="1" applyFont="1">
      <alignment vertical="center"/>
    </xf>
    <xf numFmtId="41" fontId="0" fillId="0" borderId="1" xfId="1" applyFont="1" applyBorder="1">
      <alignment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2" applyFont="1" applyAlignment="1"/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0" xfId="2" applyFont="1" applyAlignment="1">
      <alignment horizontal="center"/>
    </xf>
    <xf numFmtId="20" fontId="0" fillId="0" borderId="1" xfId="0" applyNumberForma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7" fillId="0" borderId="1" xfId="2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3" xfId="1" applyFont="1" applyBorder="1">
      <alignment vertical="center"/>
    </xf>
    <xf numFmtId="41" fontId="0" fillId="0" borderId="4" xfId="1" applyFont="1" applyBorder="1">
      <alignment vertical="center"/>
    </xf>
    <xf numFmtId="41" fontId="0" fillId="0" borderId="5" xfId="1" applyFont="1" applyBorder="1">
      <alignment vertical="center"/>
    </xf>
    <xf numFmtId="41" fontId="0" fillId="0" borderId="6" xfId="1" applyFont="1" applyBorder="1">
      <alignment vertical="center"/>
    </xf>
    <xf numFmtId="41" fontId="0" fillId="0" borderId="7" xfId="1" applyFont="1" applyBorder="1">
      <alignment vertical="center"/>
    </xf>
    <xf numFmtId="41" fontId="0" fillId="0" borderId="9" xfId="1" applyFont="1" applyBorder="1">
      <alignment vertical="center"/>
    </xf>
    <xf numFmtId="41" fontId="0" fillId="0" borderId="10" xfId="1" applyFont="1" applyBorder="1">
      <alignment vertical="center"/>
    </xf>
    <xf numFmtId="41" fontId="0" fillId="0" borderId="11" xfId="1" applyFont="1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7" fillId="0" borderId="1" xfId="1" applyNumberFormat="1" applyFont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176" fontId="0" fillId="0" borderId="1" xfId="1" applyNumberFormat="1" applyFont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 wrapText="1"/>
    </xf>
    <xf numFmtId="0" fontId="7" fillId="0" borderId="0" xfId="2" applyFont="1" applyBorder="1" applyAlignment="1">
      <alignment horizontal="center" vertical="center"/>
    </xf>
    <xf numFmtId="41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0" borderId="0" xfId="0" applyFont="1">
      <alignment vertical="center"/>
    </xf>
    <xf numFmtId="0" fontId="10" fillId="0" borderId="0" xfId="0" applyFont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20" fontId="0" fillId="0" borderId="1" xfId="0" applyNumberFormat="1" applyFill="1" applyBorder="1" applyAlignment="1">
      <alignment horizontal="center" vertical="center" wrapText="1"/>
    </xf>
    <xf numFmtId="20" fontId="0" fillId="0" borderId="1" xfId="0" applyNumberFormat="1" applyFill="1" applyBorder="1" applyAlignment="1">
      <alignment vertical="center" wrapText="1"/>
    </xf>
    <xf numFmtId="177" fontId="0" fillId="0" borderId="7" xfId="0" applyNumberFormat="1" applyBorder="1">
      <alignment vertical="center"/>
    </xf>
    <xf numFmtId="177" fontId="0" fillId="0" borderId="11" xfId="0" applyNumberFormat="1" applyBorder="1">
      <alignment vertical="center"/>
    </xf>
    <xf numFmtId="0" fontId="13" fillId="3" borderId="3" xfId="4" applyBorder="1" applyAlignment="1">
      <alignment horizontal="center" vertical="center"/>
    </xf>
    <xf numFmtId="0" fontId="13" fillId="3" borderId="4" xfId="4" applyBorder="1" applyAlignment="1">
      <alignment horizontal="center" vertical="center"/>
    </xf>
    <xf numFmtId="0" fontId="13" fillId="3" borderId="5" xfId="4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0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center" vertical="center" wrapText="1"/>
    </xf>
    <xf numFmtId="0" fontId="16" fillId="4" borderId="1" xfId="0" applyNumberFormat="1" applyFont="1" applyFill="1" applyBorder="1" applyAlignment="1">
      <alignment horizontal="center" vertical="center" wrapText="1"/>
    </xf>
    <xf numFmtId="20" fontId="16" fillId="4" borderId="1" xfId="0" applyNumberFormat="1" applyFont="1" applyFill="1" applyBorder="1" applyAlignment="1">
      <alignment horizontal="center" vertical="center" wrapText="1"/>
    </xf>
    <xf numFmtId="0" fontId="16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5">
    <cellStyle name="강조색6" xfId="4" builtinId="49"/>
    <cellStyle name="쉼표 [0]" xfId="1" builtinId="6"/>
    <cellStyle name="쉼표 [0] 2" xfId="3" xr:uid="{127569F6-457C-47BD-A111-53F271C82479}"/>
    <cellStyle name="표준" xfId="0" builtinId="0"/>
    <cellStyle name="표준 2" xfId="2" xr:uid="{6313909A-C6CC-43CD-8CDC-9A61526FE458}"/>
  </cellStyles>
  <dxfs count="13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차트작업!$B$1</c:f>
          <c:strCache>
            <c:ptCount val="1"/>
            <c:pt idx="0">
              <c:v>쓰레기 종류별 배출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차트작업!$B$5</c:f>
              <c:strCache>
                <c:ptCount val="1"/>
                <c:pt idx="0">
                  <c:v>불연성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차트작업!$C$5:$G$5</c:f>
              <c:numCache>
                <c:formatCode>General</c:formatCode>
                <c:ptCount val="5"/>
                <c:pt idx="0">
                  <c:v>61.6</c:v>
                </c:pt>
                <c:pt idx="1">
                  <c:v>96.9</c:v>
                </c:pt>
                <c:pt idx="2">
                  <c:v>60.3</c:v>
                </c:pt>
                <c:pt idx="3">
                  <c:v>42</c:v>
                </c:pt>
                <c:pt idx="4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2C-4973-A54F-AA4D68F123B0}"/>
            </c:ext>
          </c:extLst>
        </c:ser>
        <c:ser>
          <c:idx val="1"/>
          <c:order val="1"/>
          <c:tx>
            <c:strRef>
              <c:f>차트작업!$B$6</c:f>
              <c:strCache>
                <c:ptCount val="1"/>
                <c:pt idx="0">
                  <c:v>비닐류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차트작업!$C$6:$G$6</c:f>
              <c:numCache>
                <c:formatCode>General</c:formatCode>
                <c:ptCount val="5"/>
                <c:pt idx="0">
                  <c:v>2.1</c:v>
                </c:pt>
                <c:pt idx="1">
                  <c:v>4.3</c:v>
                </c:pt>
                <c:pt idx="2">
                  <c:v>4.8</c:v>
                </c:pt>
                <c:pt idx="3">
                  <c:v>4.5999999999999996</c:v>
                </c:pt>
                <c:pt idx="4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2C-4973-A54F-AA4D68F123B0}"/>
            </c:ext>
          </c:extLst>
        </c:ser>
        <c:ser>
          <c:idx val="2"/>
          <c:order val="2"/>
          <c:tx>
            <c:strRef>
              <c:f>차트작업!$B$8</c:f>
              <c:strCache>
                <c:ptCount val="1"/>
                <c:pt idx="0">
                  <c:v>음식물쓰레기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차트작업!$C$8:$G$8</c:f>
              <c:numCache>
                <c:formatCode>General</c:formatCode>
                <c:ptCount val="5"/>
                <c:pt idx="0">
                  <c:v>39.1</c:v>
                </c:pt>
                <c:pt idx="1">
                  <c:v>49.8</c:v>
                </c:pt>
                <c:pt idx="2">
                  <c:v>64.7</c:v>
                </c:pt>
                <c:pt idx="3">
                  <c:v>73.5</c:v>
                </c:pt>
                <c:pt idx="4">
                  <c:v>70.599999999999994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DA-47A9-9804-17ED85C84DC1}"/>
            </c:ext>
          </c:extLst>
        </c:ser>
        <c:ser>
          <c:idx val="3"/>
          <c:order val="3"/>
          <c:tx>
            <c:strRef>
              <c:f>차트작업!$B$9</c:f>
              <c:strCache>
                <c:ptCount val="1"/>
                <c:pt idx="0">
                  <c:v>일반쓰레기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차트작업!$C$9:$G$9</c:f>
              <c:numCache>
                <c:formatCode>General</c:formatCode>
                <c:ptCount val="5"/>
                <c:pt idx="0">
                  <c:v>67.2</c:v>
                </c:pt>
                <c:pt idx="1">
                  <c:v>66.900000000000006</c:v>
                </c:pt>
                <c:pt idx="2">
                  <c:v>81.900000000000006</c:v>
                </c:pt>
                <c:pt idx="3">
                  <c:v>11.8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DA-47A9-9804-17ED85C84DC1}"/>
            </c:ext>
          </c:extLst>
        </c:ser>
        <c:ser>
          <c:idx val="4"/>
          <c:order val="4"/>
          <c:tx>
            <c:strRef>
              <c:f>차트작업!$B$10</c:f>
              <c:strCache>
                <c:ptCount val="1"/>
                <c:pt idx="0">
                  <c:v>종이류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차트작업!$C$10:$G$10</c:f>
              <c:numCache>
                <c:formatCode>General</c:formatCode>
                <c:ptCount val="5"/>
                <c:pt idx="0">
                  <c:v>4.7</c:v>
                </c:pt>
                <c:pt idx="1">
                  <c:v>89</c:v>
                </c:pt>
                <c:pt idx="2">
                  <c:v>66</c:v>
                </c:pt>
                <c:pt idx="3">
                  <c:v>9</c:v>
                </c:pt>
                <c:pt idx="4">
                  <c:v>140.80000000000001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DA-47A9-9804-17ED85C84DC1}"/>
            </c:ext>
          </c:extLst>
        </c:ser>
        <c:ser>
          <c:idx val="5"/>
          <c:order val="5"/>
          <c:tx>
            <c:strRef>
              <c:f>차트작업!$B$11</c:f>
              <c:strCache>
                <c:ptCount val="1"/>
                <c:pt idx="0">
                  <c:v>캔고철류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차트작업!$C$11:$G$11</c:f>
              <c:numCache>
                <c:formatCode>General</c:formatCode>
                <c:ptCount val="5"/>
                <c:pt idx="0">
                  <c:v>83.2</c:v>
                </c:pt>
                <c:pt idx="1">
                  <c:v>101</c:v>
                </c:pt>
                <c:pt idx="2">
                  <c:v>142</c:v>
                </c:pt>
                <c:pt idx="3">
                  <c:v>148.19999999999999</c:v>
                </c:pt>
                <c:pt idx="4">
                  <c:v>121.3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DA-47A9-9804-17ED85C84DC1}"/>
            </c:ext>
          </c:extLst>
        </c:ser>
        <c:ser>
          <c:idx val="6"/>
          <c:order val="6"/>
          <c:tx>
            <c:strRef>
              <c:f>차트작업!$B$12</c:f>
              <c:strCache>
                <c:ptCount val="1"/>
                <c:pt idx="0">
                  <c:v>플라스틱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차트작업!$C$12:$G$12</c:f>
              <c:numCache>
                <c:formatCode>General</c:formatCode>
                <c:ptCount val="5"/>
                <c:pt idx="0">
                  <c:v>17.899999999999999</c:v>
                </c:pt>
                <c:pt idx="1">
                  <c:v>33.4</c:v>
                </c:pt>
                <c:pt idx="2">
                  <c:v>21</c:v>
                </c:pt>
                <c:pt idx="3">
                  <c:v>27.7</c:v>
                </c:pt>
                <c:pt idx="4">
                  <c:v>19.600000000000001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DA-47A9-9804-17ED85C84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84466895"/>
        <c:axId val="884468559"/>
      </c:barChart>
      <c:catAx>
        <c:axId val="88446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4468559"/>
        <c:crosses val="autoZero"/>
        <c:auto val="1"/>
        <c:lblAlgn val="ctr"/>
        <c:lblOffset val="100"/>
        <c:noMultiLvlLbl val="0"/>
      </c:catAx>
      <c:valAx>
        <c:axId val="884468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4466895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소요시간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5</xdr:row>
      <xdr:rowOff>0</xdr:rowOff>
    </xdr:from>
    <xdr:to>
      <xdr:col>9</xdr:col>
      <xdr:colOff>0</xdr:colOff>
      <xdr:row>7</xdr:row>
      <xdr:rowOff>0</xdr:rowOff>
    </xdr:to>
    <xdr:sp macro="[0]!서식" textlink="">
      <xdr:nvSpPr>
        <xdr:cNvPr id="2" name="배지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115050" y="1200150"/>
          <a:ext cx="1371600" cy="43815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9</xdr:col>
      <xdr:colOff>0</xdr:colOff>
      <xdr:row>32</xdr:row>
      <xdr:rowOff>0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794.458793518519" createdVersion="7" refreshedVersion="7" minRefreshableVersion="3" recordCount="12" xr:uid="{BF798FE2-C94A-4DF6-9DB6-6738A2006646}">
  <cacheSource type="worksheet">
    <worksheetSource ref="A3:G15" sheet="분석작업-2"/>
  </cacheSource>
  <cacheFields count="7">
    <cacheField name="고객번호" numFmtId="0">
      <sharedItems/>
    </cacheField>
    <cacheField name="고객명" numFmtId="0">
      <sharedItems/>
    </cacheField>
    <cacheField name="지역" numFmtId="0">
      <sharedItems count="4">
        <s v="서울"/>
        <s v="부산"/>
        <s v="대전"/>
        <s v="인천"/>
      </sharedItems>
    </cacheField>
    <cacheField name="사용일자" numFmtId="14">
      <sharedItems containsSemiMixedTypes="0" containsNonDate="0" containsDate="1" containsString="0" minDate="2026-03-01T00:00:00" maxDate="2026-03-13T00:00:00"/>
    </cacheField>
    <cacheField name="사용량(㎥)" numFmtId="41">
      <sharedItems containsSemiMixedTypes="0" containsString="0" containsNumber="1" containsInteger="1" minValue="15" maxValue="60"/>
    </cacheField>
    <cacheField name="청구금액" numFmtId="41">
      <sharedItems containsSemiMixedTypes="0" containsString="0" containsNumber="1" containsInteger="1" minValue="9000" maxValue="36000"/>
    </cacheField>
    <cacheField name="설치 위치" numFmtId="0">
      <sharedItems count="2">
        <s v="아파트"/>
        <s v="단독 주택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s v="C001"/>
    <s v="김철수"/>
    <x v="0"/>
    <d v="2026-03-01T00:00:00"/>
    <n v="20"/>
    <n v="12000"/>
    <x v="0"/>
  </r>
  <r>
    <s v="C002"/>
    <s v="박영희"/>
    <x v="1"/>
    <d v="2026-03-02T00:00:00"/>
    <n v="35"/>
    <n v="21000"/>
    <x v="0"/>
  </r>
  <r>
    <s v="C003"/>
    <s v="이민수"/>
    <x v="2"/>
    <d v="2026-03-03T00:00:00"/>
    <n v="40"/>
    <n v="24000"/>
    <x v="0"/>
  </r>
  <r>
    <s v="C004"/>
    <s v="최지훈"/>
    <x v="0"/>
    <d v="2026-03-04T00:00:00"/>
    <n v="50"/>
    <n v="30000"/>
    <x v="1"/>
  </r>
  <r>
    <s v="C005"/>
    <s v="장은영"/>
    <x v="3"/>
    <d v="2026-03-05T00:00:00"/>
    <n v="25"/>
    <n v="15000"/>
    <x v="0"/>
  </r>
  <r>
    <s v="C006"/>
    <s v="윤도현"/>
    <x v="2"/>
    <d v="2026-03-06T00:00:00"/>
    <n v="30"/>
    <n v="18000"/>
    <x v="1"/>
  </r>
  <r>
    <s v="C007"/>
    <s v="강민호"/>
    <x v="1"/>
    <d v="2026-03-07T00:00:00"/>
    <n v="60"/>
    <n v="36000"/>
    <x v="0"/>
  </r>
  <r>
    <s v="C008"/>
    <s v="신예진"/>
    <x v="0"/>
    <d v="2026-03-08T00:00:00"/>
    <n v="15"/>
    <n v="9000"/>
    <x v="1"/>
  </r>
  <r>
    <s v="C009"/>
    <s v="오상진"/>
    <x v="3"/>
    <d v="2026-03-09T00:00:00"/>
    <n v="45"/>
    <n v="27000"/>
    <x v="0"/>
  </r>
  <r>
    <s v="C010"/>
    <s v="한지수"/>
    <x v="0"/>
    <d v="2026-03-10T00:00:00"/>
    <n v="55"/>
    <n v="33000"/>
    <x v="1"/>
  </r>
  <r>
    <s v="C011"/>
    <s v="최승민"/>
    <x v="1"/>
    <d v="2026-03-11T00:00:00"/>
    <n v="30"/>
    <n v="18000"/>
    <x v="1"/>
  </r>
  <r>
    <s v="C012"/>
    <s v="박진영"/>
    <x v="2"/>
    <d v="2026-03-12T00:00:00"/>
    <n v="20"/>
    <n v="120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C237EC-6EBD-4206-BC26-A8BF1D32126A}" name="피벗 테이블2" cacheId="1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mergeItem="1" createdVersion="7" indent="0" compact="0" outline="1" outlineData="1" compactData="0" multipleFieldFilters="0">
  <location ref="I3:M10" firstHeaderRow="1" firstDataRow="3" firstDataCol="1"/>
  <pivotFields count="7">
    <pivotField compact="0" showAll="0"/>
    <pivotField compact="0" showAll="0"/>
    <pivotField axis="axisRow" compact="0" showAll="0">
      <items count="5">
        <item x="0"/>
        <item x="3"/>
        <item x="2"/>
        <item x="1"/>
        <item t="default"/>
      </items>
    </pivotField>
    <pivotField compact="0" numFmtId="14" showAll="0"/>
    <pivotField dataField="1" compact="0" numFmtId="41" showAll="0"/>
    <pivotField dataField="1" compact="0" numFmtId="41" showAll="0"/>
    <pivotField axis="axisCol" compact="0" showAll="0">
      <items count="3">
        <item x="1"/>
        <item x="0"/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2">
    <field x="6"/>
    <field x="-2"/>
  </colFields>
  <colItems count="4">
    <i>
      <x/>
      <x/>
    </i>
    <i r="1" i="1">
      <x v="1"/>
    </i>
    <i>
      <x v="1"/>
      <x/>
    </i>
    <i r="1" i="1">
      <x v="1"/>
    </i>
  </colItems>
  <dataFields count="2">
    <dataField name="합계 : 사용량(㎥)" fld="4" baseField="0" baseItem="0"/>
    <dataField name="평균 : 청구금액" fld="5" subtotal="average" baseField="2" baseItem="0" numFmtId="179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701E047-A81F-4625-B499-8A1131A75CDD}" name="표1" displayName="표1" ref="A3:H25" totalsRowShown="0" headerRowDxfId="11" dataDxfId="9" headerRowBorderDxfId="10" tableBorderDxfId="8">
  <autoFilter ref="A3:H25" xr:uid="{9701E047-A81F-4625-B499-8A1131A75CDD}"/>
  <tableColumns count="8">
    <tableColumn id="1" xr3:uid="{BD87AA25-7538-4E3E-9410-D1B2783D6F9F}" name="검사번호" dataDxfId="7"/>
    <tableColumn id="2" xr3:uid="{26E829A8-F7C0-4598-9146-633A194185D2}" name="지역" dataDxfId="6"/>
    <tableColumn id="3" xr3:uid="{362BE388-C9DA-4961-A7A8-D161B3D3EE7F}" name="오염종류" dataDxfId="5"/>
    <tableColumn id="4" xr3:uid="{59EE6700-F740-43CD-93D0-A71C0CA45FC3}" name="오염농도(mg/L)" dataDxfId="4"/>
    <tableColumn id="5" xr3:uid="{7B030D3A-AE41-47DF-8EF9-735CCE11B750}" name="수질상태" dataDxfId="3"/>
    <tableColumn id="6" xr3:uid="{23E01447-807B-4D27-92A7-0636FB8131C6}" name="검사기관" dataDxfId="2"/>
    <tableColumn id="7" xr3:uid="{157E5808-BE8D-4029-BAA7-F866A37340BD}" name="pH값" dataDxfId="1"/>
    <tableColumn id="8" xr3:uid="{1F9B1255-7CC9-4FFE-9F91-D440D18F0285}" name="적합여부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617A-4BB1-4C96-9E94-D378FDDBD0EC}">
  <sheetPr codeName="Sheet1"/>
  <dimension ref="A1:F10"/>
  <sheetViews>
    <sheetView tabSelected="1" workbookViewId="0"/>
  </sheetViews>
  <sheetFormatPr defaultRowHeight="16.5"/>
  <cols>
    <col min="1" max="1" width="11" bestFit="1" customWidth="1"/>
    <col min="2" max="2" width="15.125" bestFit="1" customWidth="1"/>
    <col min="3" max="3" width="11.625" bestFit="1" customWidth="1"/>
    <col min="5" max="5" width="15.5" bestFit="1" customWidth="1"/>
    <col min="6" max="6" width="12.875" customWidth="1"/>
  </cols>
  <sheetData>
    <row r="1" spans="1:6">
      <c r="A1" t="s">
        <v>19</v>
      </c>
    </row>
    <row r="3" spans="1:6">
      <c r="A3" t="s">
        <v>233</v>
      </c>
      <c r="B3" t="s">
        <v>234</v>
      </c>
      <c r="C3" t="s">
        <v>235</v>
      </c>
      <c r="D3" t="s">
        <v>236</v>
      </c>
      <c r="E3" t="s">
        <v>237</v>
      </c>
      <c r="F3" t="s">
        <v>238</v>
      </c>
    </row>
    <row r="4" spans="1:6">
      <c r="A4" t="s">
        <v>239</v>
      </c>
      <c r="B4" t="s">
        <v>240</v>
      </c>
      <c r="C4">
        <v>170</v>
      </c>
      <c r="D4" t="s">
        <v>241</v>
      </c>
      <c r="E4" t="s">
        <v>242</v>
      </c>
      <c r="F4">
        <v>0.37</v>
      </c>
    </row>
    <row r="5" spans="1:6">
      <c r="A5" t="s">
        <v>243</v>
      </c>
      <c r="B5" t="s">
        <v>244</v>
      </c>
      <c r="C5">
        <v>174</v>
      </c>
      <c r="D5" t="s">
        <v>245</v>
      </c>
      <c r="E5" t="s">
        <v>246</v>
      </c>
      <c r="F5">
        <v>0.83</v>
      </c>
    </row>
    <row r="6" spans="1:6">
      <c r="A6" t="s">
        <v>247</v>
      </c>
      <c r="B6" t="s">
        <v>248</v>
      </c>
      <c r="C6">
        <v>126</v>
      </c>
      <c r="D6" t="s">
        <v>249</v>
      </c>
      <c r="E6" t="s">
        <v>250</v>
      </c>
      <c r="F6">
        <v>0.33</v>
      </c>
    </row>
    <row r="7" spans="1:6">
      <c r="A7" t="s">
        <v>251</v>
      </c>
      <c r="B7" t="s">
        <v>252</v>
      </c>
      <c r="C7">
        <v>171</v>
      </c>
      <c r="D7" t="s">
        <v>253</v>
      </c>
      <c r="E7" t="s">
        <v>254</v>
      </c>
      <c r="F7">
        <v>0.56999999999999995</v>
      </c>
    </row>
    <row r="8" spans="1:6">
      <c r="A8" t="s">
        <v>255</v>
      </c>
      <c r="B8" t="s">
        <v>256</v>
      </c>
      <c r="C8">
        <v>131</v>
      </c>
      <c r="D8" t="s">
        <v>245</v>
      </c>
      <c r="E8" t="s">
        <v>257</v>
      </c>
      <c r="F8">
        <v>1</v>
      </c>
    </row>
    <row r="9" spans="1:6">
      <c r="A9" t="s">
        <v>258</v>
      </c>
      <c r="B9" t="s">
        <v>259</v>
      </c>
      <c r="C9">
        <v>175</v>
      </c>
      <c r="D9" t="s">
        <v>241</v>
      </c>
      <c r="E9" t="s">
        <v>260</v>
      </c>
      <c r="F9">
        <v>0.87</v>
      </c>
    </row>
    <row r="10" spans="1:6">
      <c r="A10" t="s">
        <v>261</v>
      </c>
      <c r="B10" t="s">
        <v>262</v>
      </c>
      <c r="C10">
        <v>225</v>
      </c>
      <c r="D10" t="s">
        <v>245</v>
      </c>
      <c r="E10" t="s">
        <v>246</v>
      </c>
      <c r="F10">
        <v>0.83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2B3BC-017A-4CF3-A6F0-7A33C39FCF20}">
  <sheetPr codeName="Sheet2"/>
  <dimension ref="A1:F12"/>
  <sheetViews>
    <sheetView workbookViewId="0">
      <selection sqref="A1:F1"/>
    </sheetView>
  </sheetViews>
  <sheetFormatPr defaultRowHeight="16.5"/>
  <cols>
    <col min="1" max="1" width="9" bestFit="1" customWidth="1"/>
    <col min="3" max="3" width="9.25" customWidth="1"/>
    <col min="4" max="4" width="9.75" customWidth="1"/>
    <col min="5" max="5" width="13.25" customWidth="1"/>
    <col min="6" max="6" width="20.25" customWidth="1"/>
  </cols>
  <sheetData>
    <row r="1" spans="1:6" ht="20.45" customHeight="1">
      <c r="A1" s="79" t="s">
        <v>42</v>
      </c>
      <c r="B1" s="79"/>
      <c r="C1" s="79"/>
      <c r="D1" s="79"/>
      <c r="E1" s="79"/>
      <c r="F1" s="79"/>
    </row>
    <row r="2" spans="1:6" ht="17.25" thickBot="1"/>
    <row r="3" spans="1:6">
      <c r="A3" s="61" t="s">
        <v>24</v>
      </c>
      <c r="B3" s="62" t="s">
        <v>20</v>
      </c>
      <c r="C3" s="62" t="s">
        <v>21</v>
      </c>
      <c r="D3" s="62" t="s">
        <v>22</v>
      </c>
      <c r="E3" s="62" t="s">
        <v>23</v>
      </c>
      <c r="F3" s="63" t="s">
        <v>25</v>
      </c>
    </row>
    <row r="4" spans="1:6">
      <c r="A4" s="64" t="s">
        <v>26</v>
      </c>
      <c r="B4" s="20" t="s">
        <v>27</v>
      </c>
      <c r="C4" s="65">
        <v>2736</v>
      </c>
      <c r="D4" s="65">
        <v>246</v>
      </c>
      <c r="E4" s="18">
        <v>164816</v>
      </c>
      <c r="F4" s="59">
        <v>450936576</v>
      </c>
    </row>
    <row r="5" spans="1:6">
      <c r="A5" s="64" t="s">
        <v>28</v>
      </c>
      <c r="B5" s="20" t="s">
        <v>29</v>
      </c>
      <c r="C5" s="65">
        <v>3103</v>
      </c>
      <c r="D5" s="65">
        <v>137</v>
      </c>
      <c r="E5" s="18">
        <v>11452</v>
      </c>
      <c r="F5" s="59">
        <v>35535556</v>
      </c>
    </row>
    <row r="6" spans="1:6">
      <c r="A6" s="64" t="s">
        <v>30</v>
      </c>
      <c r="B6" s="20" t="s">
        <v>31</v>
      </c>
      <c r="C6" s="65">
        <v>3865</v>
      </c>
      <c r="D6" s="65">
        <v>392</v>
      </c>
      <c r="E6" s="18">
        <v>24726</v>
      </c>
      <c r="F6" s="59">
        <v>95565990</v>
      </c>
    </row>
    <row r="7" spans="1:6">
      <c r="A7" s="64" t="s">
        <v>32</v>
      </c>
      <c r="B7" s="20" t="s">
        <v>33</v>
      </c>
      <c r="C7" s="65">
        <v>3113</v>
      </c>
      <c r="D7" s="65">
        <v>218</v>
      </c>
      <c r="E7" s="18">
        <v>239257</v>
      </c>
      <c r="F7" s="59">
        <v>744807041</v>
      </c>
    </row>
    <row r="8" spans="1:6">
      <c r="A8" s="64" t="s">
        <v>34</v>
      </c>
      <c r="B8" s="20" t="s">
        <v>35</v>
      </c>
      <c r="C8" s="65">
        <v>4234</v>
      </c>
      <c r="D8" s="65">
        <v>471</v>
      </c>
      <c r="E8" s="18">
        <v>72082</v>
      </c>
      <c r="F8" s="59">
        <v>305195188</v>
      </c>
    </row>
    <row r="9" spans="1:6">
      <c r="A9" s="64" t="s">
        <v>36</v>
      </c>
      <c r="B9" s="20" t="s">
        <v>37</v>
      </c>
      <c r="C9" s="65">
        <v>4477</v>
      </c>
      <c r="D9" s="65">
        <v>154</v>
      </c>
      <c r="E9" s="18">
        <v>59307</v>
      </c>
      <c r="F9" s="59">
        <v>265517439</v>
      </c>
    </row>
    <row r="10" spans="1:6">
      <c r="A10" s="64" t="s">
        <v>38</v>
      </c>
      <c r="B10" s="20" t="s">
        <v>39</v>
      </c>
      <c r="C10" s="65">
        <v>3467</v>
      </c>
      <c r="D10" s="65">
        <v>158</v>
      </c>
      <c r="E10" s="18">
        <v>235925</v>
      </c>
      <c r="F10" s="59">
        <v>817951975</v>
      </c>
    </row>
    <row r="11" spans="1:6">
      <c r="A11" s="64" t="s">
        <v>40</v>
      </c>
      <c r="B11" s="20" t="s">
        <v>41</v>
      </c>
      <c r="C11" s="65">
        <v>4338</v>
      </c>
      <c r="D11" s="65">
        <v>428</v>
      </c>
      <c r="E11" s="18">
        <v>79168</v>
      </c>
      <c r="F11" s="59">
        <v>343430784</v>
      </c>
    </row>
    <row r="12" spans="1:6" ht="17.25" thickBot="1">
      <c r="A12" s="80" t="s">
        <v>0</v>
      </c>
      <c r="B12" s="81"/>
      <c r="C12" s="81"/>
      <c r="D12" s="81"/>
      <c r="E12" s="81"/>
      <c r="F12" s="60">
        <f>SUM(F4:F11)</f>
        <v>3058940549</v>
      </c>
    </row>
  </sheetData>
  <mergeCells count="2">
    <mergeCell ref="A1:F1"/>
    <mergeCell ref="A12:E1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3D2E5-7E38-47A3-820F-4D8CDB18B812}">
  <sheetPr codeName="Sheet3"/>
  <dimension ref="A1:I18"/>
  <sheetViews>
    <sheetView workbookViewId="0">
      <selection activeCell="A3" sqref="A3:I3"/>
    </sheetView>
  </sheetViews>
  <sheetFormatPr defaultRowHeight="16.5"/>
  <cols>
    <col min="1" max="1" width="8.75" customWidth="1"/>
    <col min="2" max="2" width="12.5" customWidth="1"/>
    <col min="5" max="5" width="11.75" customWidth="1"/>
    <col min="6" max="6" width="9" customWidth="1"/>
    <col min="8" max="9" width="12.625" style="21" customWidth="1"/>
  </cols>
  <sheetData>
    <row r="1" spans="1:9" ht="26.25">
      <c r="A1" s="22" t="s">
        <v>62</v>
      </c>
      <c r="B1" s="2"/>
      <c r="C1" s="2"/>
      <c r="D1" s="2"/>
      <c r="E1" s="2"/>
      <c r="F1" s="2"/>
      <c r="G1" s="2"/>
      <c r="H1" s="26"/>
    </row>
    <row r="2" spans="1:9">
      <c r="A2" s="3"/>
      <c r="B2" s="3"/>
      <c r="C2" s="3"/>
      <c r="D2" s="4"/>
      <c r="E2" s="1"/>
    </row>
    <row r="3" spans="1:9" ht="33">
      <c r="A3" s="28" t="s">
        <v>43</v>
      </c>
      <c r="B3" s="28" t="s">
        <v>44</v>
      </c>
      <c r="C3" s="28" t="s">
        <v>280</v>
      </c>
      <c r="D3" s="28" t="s">
        <v>281</v>
      </c>
      <c r="E3" s="28" t="s">
        <v>282</v>
      </c>
      <c r="F3" s="28" t="s">
        <v>45</v>
      </c>
      <c r="G3" s="28" t="s">
        <v>46</v>
      </c>
      <c r="H3" s="28" t="s">
        <v>283</v>
      </c>
      <c r="I3" s="28" t="s">
        <v>284</v>
      </c>
    </row>
    <row r="4" spans="1:9">
      <c r="A4" s="23" t="s">
        <v>5</v>
      </c>
      <c r="B4" s="24">
        <v>46082</v>
      </c>
      <c r="C4" s="25">
        <v>15</v>
      </c>
      <c r="D4" s="25">
        <v>65</v>
      </c>
      <c r="E4" s="25">
        <v>3.5</v>
      </c>
      <c r="F4" s="25">
        <v>1012</v>
      </c>
      <c r="G4" s="25">
        <v>0</v>
      </c>
      <c r="H4" s="27">
        <v>0.27083333333333331</v>
      </c>
      <c r="I4" s="27">
        <v>0.76041666666666663</v>
      </c>
    </row>
    <row r="5" spans="1:9">
      <c r="A5" s="23" t="s">
        <v>48</v>
      </c>
      <c r="B5" s="24">
        <v>46082</v>
      </c>
      <c r="C5" s="25">
        <v>18</v>
      </c>
      <c r="D5" s="25">
        <v>45</v>
      </c>
      <c r="E5" s="25">
        <v>4.2</v>
      </c>
      <c r="F5" s="25">
        <v>1010</v>
      </c>
      <c r="G5" s="25">
        <v>2</v>
      </c>
      <c r="H5" s="27">
        <v>0.27777777777777779</v>
      </c>
      <c r="I5" s="27">
        <v>0.76388888888888884</v>
      </c>
    </row>
    <row r="6" spans="1:9">
      <c r="A6" s="23" t="s">
        <v>49</v>
      </c>
      <c r="B6" s="24">
        <v>46082</v>
      </c>
      <c r="C6" s="25">
        <v>16</v>
      </c>
      <c r="D6" s="25">
        <v>60</v>
      </c>
      <c r="E6" s="25">
        <v>2.8</v>
      </c>
      <c r="F6" s="25">
        <v>1011</v>
      </c>
      <c r="G6" s="25">
        <v>0.5</v>
      </c>
      <c r="H6" s="27">
        <v>0.27430555555555552</v>
      </c>
      <c r="I6" s="27">
        <v>0.75694444444444453</v>
      </c>
    </row>
    <row r="7" spans="1:9">
      <c r="A7" s="23" t="s">
        <v>50</v>
      </c>
      <c r="B7" s="24">
        <v>46082</v>
      </c>
      <c r="C7" s="25">
        <v>20</v>
      </c>
      <c r="D7" s="25">
        <v>75</v>
      </c>
      <c r="E7" s="25">
        <v>3</v>
      </c>
      <c r="F7" s="25">
        <v>1013</v>
      </c>
      <c r="G7" s="25">
        <v>1</v>
      </c>
      <c r="H7" s="27">
        <v>0.28125</v>
      </c>
      <c r="I7" s="27">
        <v>0.76736111111111116</v>
      </c>
    </row>
    <row r="8" spans="1:9">
      <c r="A8" s="23" t="s">
        <v>51</v>
      </c>
      <c r="B8" s="24">
        <v>46082</v>
      </c>
      <c r="C8" s="25">
        <v>14</v>
      </c>
      <c r="D8" s="25">
        <v>80</v>
      </c>
      <c r="E8" s="25">
        <v>2.5</v>
      </c>
      <c r="F8" s="25">
        <v>1010</v>
      </c>
      <c r="G8" s="25">
        <v>0</v>
      </c>
      <c r="H8" s="27">
        <v>0.2638888888888889</v>
      </c>
      <c r="I8" s="27">
        <v>0.75</v>
      </c>
    </row>
    <row r="9" spans="1:9">
      <c r="A9" s="23" t="s">
        <v>52</v>
      </c>
      <c r="B9" s="24">
        <v>46082</v>
      </c>
      <c r="C9" s="25">
        <v>17</v>
      </c>
      <c r="D9" s="25">
        <v>68</v>
      </c>
      <c r="E9" s="25">
        <v>3.3</v>
      </c>
      <c r="F9" s="25">
        <v>1012</v>
      </c>
      <c r="G9" s="25">
        <v>0.1</v>
      </c>
      <c r="H9" s="27">
        <v>0.2673611111111111</v>
      </c>
      <c r="I9" s="27">
        <v>0.75347222222222221</v>
      </c>
    </row>
    <row r="10" spans="1:9">
      <c r="A10" s="23" t="s">
        <v>53</v>
      </c>
      <c r="B10" s="24">
        <v>46082</v>
      </c>
      <c r="C10" s="25">
        <v>19</v>
      </c>
      <c r="D10" s="25">
        <v>50</v>
      </c>
      <c r="E10" s="25">
        <v>4</v>
      </c>
      <c r="F10" s="25">
        <v>1011</v>
      </c>
      <c r="G10" s="25">
        <v>0</v>
      </c>
      <c r="H10" s="27">
        <v>0.27638888888888885</v>
      </c>
      <c r="I10" s="27">
        <v>0.76250000000000007</v>
      </c>
    </row>
    <row r="11" spans="1:9">
      <c r="A11" s="23" t="s">
        <v>54</v>
      </c>
      <c r="B11" s="24">
        <v>46082</v>
      </c>
      <c r="C11" s="25">
        <v>16</v>
      </c>
      <c r="D11" s="25">
        <v>69</v>
      </c>
      <c r="E11" s="25">
        <v>3.1</v>
      </c>
      <c r="F11" s="25">
        <v>1012</v>
      </c>
      <c r="G11" s="25">
        <v>0</v>
      </c>
      <c r="H11" s="27">
        <v>0.27083333333333331</v>
      </c>
      <c r="I11" s="27">
        <v>0.75694444444444453</v>
      </c>
    </row>
    <row r="12" spans="1:9">
      <c r="A12" s="23" t="s">
        <v>55</v>
      </c>
      <c r="B12" s="24">
        <v>46082</v>
      </c>
      <c r="C12" s="25">
        <v>18</v>
      </c>
      <c r="D12" s="25">
        <v>65</v>
      </c>
      <c r="E12" s="25">
        <v>3.7</v>
      </c>
      <c r="F12" s="25">
        <v>1014</v>
      </c>
      <c r="G12" s="25">
        <v>0</v>
      </c>
      <c r="H12" s="27">
        <v>0.2722222222222222</v>
      </c>
      <c r="I12" s="27">
        <v>0.7583333333333333</v>
      </c>
    </row>
    <row r="13" spans="1:9">
      <c r="A13" s="23" t="s">
        <v>56</v>
      </c>
      <c r="B13" s="24">
        <v>46082</v>
      </c>
      <c r="C13" s="25">
        <v>21</v>
      </c>
      <c r="D13" s="25">
        <v>77</v>
      </c>
      <c r="E13" s="25">
        <v>5</v>
      </c>
      <c r="F13" s="25">
        <v>1010</v>
      </c>
      <c r="G13" s="25">
        <v>3</v>
      </c>
      <c r="H13" s="27">
        <v>0.28472222222222221</v>
      </c>
      <c r="I13" s="27">
        <v>0.77083333333333337</v>
      </c>
    </row>
    <row r="14" spans="1:9">
      <c r="A14" s="23" t="s">
        <v>57</v>
      </c>
      <c r="B14" s="24">
        <v>46082</v>
      </c>
      <c r="C14" s="25">
        <v>22</v>
      </c>
      <c r="D14" s="25">
        <v>79</v>
      </c>
      <c r="E14" s="25">
        <v>3.8</v>
      </c>
      <c r="F14" s="25">
        <v>1013</v>
      </c>
      <c r="G14" s="25">
        <v>2</v>
      </c>
      <c r="H14" s="27">
        <v>0.28819444444444448</v>
      </c>
      <c r="I14" s="27">
        <v>0.77430555555555547</v>
      </c>
    </row>
    <row r="15" spans="1:9">
      <c r="A15" s="23" t="s">
        <v>58</v>
      </c>
      <c r="B15" s="24">
        <v>46082</v>
      </c>
      <c r="C15" s="25">
        <v>20</v>
      </c>
      <c r="D15" s="25">
        <v>48</v>
      </c>
      <c r="E15" s="25">
        <v>4.3</v>
      </c>
      <c r="F15" s="25">
        <v>1011</v>
      </c>
      <c r="G15" s="25">
        <v>0.5</v>
      </c>
      <c r="H15" s="27">
        <v>0.27777777777777779</v>
      </c>
      <c r="I15" s="27">
        <v>0.76736111111111116</v>
      </c>
    </row>
    <row r="16" spans="1:9">
      <c r="A16" s="23" t="s">
        <v>59</v>
      </c>
      <c r="B16" s="24">
        <v>46082</v>
      </c>
      <c r="C16" s="25">
        <v>13</v>
      </c>
      <c r="D16" s="25">
        <v>70</v>
      </c>
      <c r="E16" s="25">
        <v>2.6</v>
      </c>
      <c r="F16" s="25">
        <v>1012</v>
      </c>
      <c r="G16" s="25">
        <v>0</v>
      </c>
      <c r="H16" s="27">
        <v>0.26041666666666669</v>
      </c>
      <c r="I16" s="27">
        <v>0.74652777777777779</v>
      </c>
    </row>
    <row r="17" spans="1:9">
      <c r="A17" s="23" t="s">
        <v>60</v>
      </c>
      <c r="B17" s="24">
        <v>46082</v>
      </c>
      <c r="C17" s="25">
        <v>14</v>
      </c>
      <c r="D17" s="25">
        <v>68</v>
      </c>
      <c r="E17" s="25">
        <v>3.2</v>
      </c>
      <c r="F17" s="25">
        <v>1011</v>
      </c>
      <c r="G17" s="25">
        <v>0.2</v>
      </c>
      <c r="H17" s="27">
        <v>0.2638888888888889</v>
      </c>
      <c r="I17" s="27">
        <v>0.75</v>
      </c>
    </row>
    <row r="18" spans="1:9">
      <c r="A18" s="23" t="s">
        <v>61</v>
      </c>
      <c r="B18" s="24">
        <v>46082</v>
      </c>
      <c r="C18" s="25">
        <v>19</v>
      </c>
      <c r="D18" s="25">
        <v>66</v>
      </c>
      <c r="E18" s="25">
        <v>3</v>
      </c>
      <c r="F18" s="25">
        <v>1012</v>
      </c>
      <c r="G18" s="25">
        <v>0</v>
      </c>
      <c r="H18" s="27">
        <v>0.27430555555555552</v>
      </c>
      <c r="I18" s="27">
        <v>0.76041666666666663</v>
      </c>
    </row>
  </sheetData>
  <phoneticPr fontId="2" type="noConversion"/>
  <conditionalFormatting sqref="A4:I18">
    <cfRule type="expression" dxfId="12" priority="1">
      <formula>AND($D4&lt;=50,$E4&gt;=4)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BE00-F401-481F-A9F7-08DE04F45F03}">
  <sheetPr codeName="Sheet4"/>
  <dimension ref="A1:M44"/>
  <sheetViews>
    <sheetView workbookViewId="0"/>
  </sheetViews>
  <sheetFormatPr defaultRowHeight="16.5"/>
  <cols>
    <col min="1" max="1" width="11" customWidth="1"/>
    <col min="2" max="2" width="11.5" customWidth="1"/>
    <col min="3" max="3" width="12.75" customWidth="1"/>
    <col min="4" max="4" width="13" bestFit="1" customWidth="1"/>
    <col min="5" max="5" width="9.75" customWidth="1"/>
    <col min="6" max="6" width="6.25" customWidth="1"/>
    <col min="7" max="7" width="12" customWidth="1"/>
    <col min="8" max="12" width="11.25" customWidth="1"/>
    <col min="17" max="18" width="8.875" bestFit="1" customWidth="1"/>
    <col min="19" max="20" width="9.25" bestFit="1" customWidth="1"/>
  </cols>
  <sheetData>
    <row r="1" spans="1:12">
      <c r="A1" s="6" t="s">
        <v>63</v>
      </c>
      <c r="B1" s="6"/>
      <c r="C1" s="6"/>
      <c r="D1" s="6"/>
      <c r="E1" s="6"/>
      <c r="F1" s="6"/>
      <c r="G1" s="6" t="s">
        <v>1</v>
      </c>
      <c r="H1" s="6"/>
      <c r="I1" s="6"/>
      <c r="J1" s="7"/>
      <c r="K1" s="6"/>
    </row>
    <row r="2" spans="1:12">
      <c r="A2" s="42" t="s">
        <v>64</v>
      </c>
      <c r="B2" s="42" t="s">
        <v>65</v>
      </c>
      <c r="C2" s="42" t="s">
        <v>66</v>
      </c>
      <c r="D2" s="42" t="s">
        <v>279</v>
      </c>
      <c r="E2" s="6"/>
      <c r="F2" s="6"/>
      <c r="G2" s="42" t="s">
        <v>2</v>
      </c>
      <c r="H2" s="42" t="s">
        <v>84</v>
      </c>
      <c r="I2" s="42" t="s">
        <v>85</v>
      </c>
      <c r="J2" s="42" t="s">
        <v>89</v>
      </c>
    </row>
    <row r="3" spans="1:12">
      <c r="A3" s="20" t="s">
        <v>67</v>
      </c>
      <c r="B3" s="19">
        <v>1500000</v>
      </c>
      <c r="C3" s="30">
        <v>44693</v>
      </c>
      <c r="D3" s="20" t="str">
        <f>IF(YEAR(C3)&lt;=2022,"특별할인쿠폰","")</f>
        <v>특별할인쿠폰</v>
      </c>
      <c r="E3" s="6"/>
      <c r="F3" s="6"/>
      <c r="G3" s="8" t="s">
        <v>4</v>
      </c>
      <c r="H3" s="9" t="s">
        <v>86</v>
      </c>
      <c r="I3" s="41">
        <v>1</v>
      </c>
      <c r="J3" s="9">
        <f>INDEX($H$13:$K$15,MATCH(LEFT(H3,2),$G$13:$G$15,0),MATCH(I3,$H$12:$K$12,1))</f>
        <v>10000</v>
      </c>
    </row>
    <row r="4" spans="1:12">
      <c r="A4" s="20" t="s">
        <v>68</v>
      </c>
      <c r="B4" s="19">
        <v>800000</v>
      </c>
      <c r="C4" s="30">
        <v>44432</v>
      </c>
      <c r="D4" s="20" t="str">
        <f t="shared" ref="D4:D9" si="0">IF(YEAR(C4)&lt;=2022,"특별할인쿠폰","")</f>
        <v>특별할인쿠폰</v>
      </c>
      <c r="E4" s="6"/>
      <c r="F4" s="6"/>
      <c r="G4" s="8" t="s">
        <v>6</v>
      </c>
      <c r="H4" s="9" t="s">
        <v>87</v>
      </c>
      <c r="I4" s="41">
        <v>6</v>
      </c>
      <c r="J4" s="9">
        <f t="shared" ref="J4:J9" si="1">INDEX($H$13:$K$15,MATCH(LEFT(H4,2),$G$13:$G$15,0),MATCH(I4,$H$12:$K$12,1))</f>
        <v>75000</v>
      </c>
    </row>
    <row r="5" spans="1:12">
      <c r="A5" s="20" t="s">
        <v>72</v>
      </c>
      <c r="B5" s="19">
        <v>2100000</v>
      </c>
      <c r="C5" s="30">
        <v>44986</v>
      </c>
      <c r="D5" s="20" t="str">
        <f t="shared" si="0"/>
        <v/>
      </c>
      <c r="E5" s="6"/>
      <c r="F5" s="6"/>
      <c r="G5" s="8" t="s">
        <v>7</v>
      </c>
      <c r="H5" s="9" t="s">
        <v>87</v>
      </c>
      <c r="I5" s="41">
        <v>6</v>
      </c>
      <c r="J5" s="9">
        <f t="shared" si="1"/>
        <v>75000</v>
      </c>
    </row>
    <row r="6" spans="1:12">
      <c r="A6" s="20" t="s">
        <v>69</v>
      </c>
      <c r="B6" s="19">
        <v>1200000</v>
      </c>
      <c r="C6" s="30">
        <v>44145</v>
      </c>
      <c r="D6" s="20" t="str">
        <f t="shared" si="0"/>
        <v>특별할인쿠폰</v>
      </c>
      <c r="E6" s="6"/>
      <c r="F6" s="6"/>
      <c r="G6" s="8" t="s">
        <v>9</v>
      </c>
      <c r="H6" s="9" t="s">
        <v>86</v>
      </c>
      <c r="I6" s="41">
        <v>12</v>
      </c>
      <c r="J6" s="9">
        <f t="shared" si="1"/>
        <v>90000</v>
      </c>
    </row>
    <row r="7" spans="1:12">
      <c r="A7" s="20" t="s">
        <v>70</v>
      </c>
      <c r="B7" s="19">
        <v>950000</v>
      </c>
      <c r="C7" s="30">
        <v>45503</v>
      </c>
      <c r="D7" s="20" t="str">
        <f t="shared" si="0"/>
        <v/>
      </c>
      <c r="E7" s="6"/>
      <c r="F7" s="6"/>
      <c r="G7" s="8" t="s">
        <v>11</v>
      </c>
      <c r="H7" s="9" t="s">
        <v>87</v>
      </c>
      <c r="I7" s="41">
        <v>3</v>
      </c>
      <c r="J7" s="9">
        <f t="shared" si="1"/>
        <v>40000</v>
      </c>
    </row>
    <row r="8" spans="1:12">
      <c r="A8" s="20" t="s">
        <v>71</v>
      </c>
      <c r="B8" s="19">
        <v>3000000</v>
      </c>
      <c r="C8" s="30">
        <v>44956</v>
      </c>
      <c r="D8" s="20" t="str">
        <f t="shared" si="0"/>
        <v/>
      </c>
      <c r="E8" s="6"/>
      <c r="F8" s="6"/>
      <c r="G8" s="8" t="s">
        <v>13</v>
      </c>
      <c r="H8" s="9" t="s">
        <v>86</v>
      </c>
      <c r="I8" s="41">
        <v>3</v>
      </c>
      <c r="J8" s="9">
        <f t="shared" si="1"/>
        <v>27000</v>
      </c>
    </row>
    <row r="9" spans="1:12">
      <c r="A9" s="20" t="s">
        <v>73</v>
      </c>
      <c r="B9" s="19">
        <v>2500000</v>
      </c>
      <c r="C9" s="30">
        <v>44392</v>
      </c>
      <c r="D9" s="20" t="str">
        <f t="shared" si="0"/>
        <v>특별할인쿠폰</v>
      </c>
      <c r="E9" s="6"/>
      <c r="F9" s="6"/>
      <c r="G9" s="8" t="s">
        <v>15</v>
      </c>
      <c r="H9" s="9" t="s">
        <v>83</v>
      </c>
      <c r="I9" s="41">
        <v>6</v>
      </c>
      <c r="J9" s="9">
        <f t="shared" si="1"/>
        <v>120000</v>
      </c>
    </row>
    <row r="10" spans="1:12">
      <c r="E10" s="3"/>
      <c r="F10" s="3"/>
      <c r="G10" s="10"/>
      <c r="H10" s="10"/>
      <c r="I10" s="11"/>
      <c r="J10" s="10"/>
      <c r="K10" s="3"/>
    </row>
    <row r="11" spans="1:12">
      <c r="A11" s="3"/>
      <c r="B11" s="3"/>
      <c r="C11" s="3"/>
      <c r="D11" s="3"/>
      <c r="E11" s="3"/>
      <c r="F11" s="3"/>
      <c r="G11" s="12" t="s">
        <v>90</v>
      </c>
      <c r="H11" s="13"/>
      <c r="I11" s="13"/>
      <c r="J11" s="13"/>
      <c r="K11" s="13"/>
      <c r="L11" s="13"/>
    </row>
    <row r="12" spans="1:12" ht="17.25" thickBot="1">
      <c r="A12" s="6" t="s">
        <v>122</v>
      </c>
      <c r="B12" s="6"/>
      <c r="C12" s="6"/>
      <c r="D12" s="6"/>
      <c r="E12" s="6"/>
      <c r="F12" s="6"/>
      <c r="G12" s="20" t="s">
        <v>18</v>
      </c>
      <c r="H12" s="40">
        <v>1</v>
      </c>
      <c r="I12" s="40">
        <v>3</v>
      </c>
      <c r="J12" s="40">
        <v>6</v>
      </c>
      <c r="K12" s="40">
        <v>12</v>
      </c>
    </row>
    <row r="13" spans="1:12">
      <c r="A13" s="42" t="s">
        <v>74</v>
      </c>
      <c r="B13" s="42" t="s">
        <v>75</v>
      </c>
      <c r="C13" s="42" t="s">
        <v>79</v>
      </c>
      <c r="D13" s="42" t="s">
        <v>78</v>
      </c>
      <c r="E13" s="6"/>
      <c r="F13" s="6"/>
      <c r="G13" s="39" t="s">
        <v>81</v>
      </c>
      <c r="H13" s="31">
        <v>15000</v>
      </c>
      <c r="I13" s="32">
        <v>40000</v>
      </c>
      <c r="J13" s="32">
        <v>75000</v>
      </c>
      <c r="K13" s="33">
        <v>140000</v>
      </c>
    </row>
    <row r="14" spans="1:12">
      <c r="A14" s="8" t="s">
        <v>5</v>
      </c>
      <c r="B14" s="8">
        <v>15</v>
      </c>
      <c r="C14" s="29">
        <v>2.5</v>
      </c>
      <c r="D14" s="8">
        <v>10</v>
      </c>
      <c r="E14" s="6"/>
      <c r="F14" s="6"/>
      <c r="G14" s="39" t="s">
        <v>82</v>
      </c>
      <c r="H14" s="34">
        <v>10000</v>
      </c>
      <c r="I14" s="18">
        <v>27000</v>
      </c>
      <c r="J14" s="18">
        <v>50000</v>
      </c>
      <c r="K14" s="35">
        <v>90000</v>
      </c>
    </row>
    <row r="15" spans="1:12" ht="17.25" thickBot="1">
      <c r="A15" s="8" t="s">
        <v>8</v>
      </c>
      <c r="B15" s="8">
        <v>22</v>
      </c>
      <c r="C15" s="29">
        <v>3.5</v>
      </c>
      <c r="D15" s="8">
        <v>80</v>
      </c>
      <c r="E15" s="6"/>
      <c r="F15" s="6"/>
      <c r="G15" s="39" t="s">
        <v>88</v>
      </c>
      <c r="H15" s="36">
        <v>25000</v>
      </c>
      <c r="I15" s="37">
        <v>65000</v>
      </c>
      <c r="J15" s="37">
        <v>120000</v>
      </c>
      <c r="K15" s="38">
        <v>220000</v>
      </c>
    </row>
    <row r="16" spans="1:12">
      <c r="A16" s="8" t="s">
        <v>14</v>
      </c>
      <c r="B16" s="8">
        <v>18</v>
      </c>
      <c r="C16" s="29">
        <v>2</v>
      </c>
      <c r="D16" s="8">
        <v>20</v>
      </c>
      <c r="E16" s="6"/>
      <c r="F16" s="6"/>
    </row>
    <row r="17" spans="1:11">
      <c r="A17" s="8" t="s">
        <v>10</v>
      </c>
      <c r="B17" s="8">
        <v>12</v>
      </c>
      <c r="C17" s="29">
        <v>4</v>
      </c>
      <c r="D17" s="8">
        <v>90</v>
      </c>
      <c r="E17" s="6"/>
      <c r="F17" s="6"/>
      <c r="G17" t="s">
        <v>16</v>
      </c>
    </row>
    <row r="18" spans="1:11">
      <c r="A18" s="8" t="s">
        <v>12</v>
      </c>
      <c r="B18" s="8">
        <v>24</v>
      </c>
      <c r="C18" s="29">
        <v>3</v>
      </c>
      <c r="D18" s="8">
        <v>5</v>
      </c>
      <c r="E18" s="6"/>
      <c r="F18" s="6"/>
      <c r="G18" s="51" t="s">
        <v>145</v>
      </c>
      <c r="H18" s="51" t="s">
        <v>125</v>
      </c>
      <c r="I18" s="51" t="s">
        <v>124</v>
      </c>
      <c r="J18" s="51" t="s">
        <v>144</v>
      </c>
      <c r="K18" s="51" t="s">
        <v>146</v>
      </c>
    </row>
    <row r="19" spans="1:11">
      <c r="A19" s="8" t="s">
        <v>76</v>
      </c>
      <c r="B19" s="8">
        <v>20</v>
      </c>
      <c r="C19" s="29">
        <v>3</v>
      </c>
      <c r="D19" s="8">
        <v>50</v>
      </c>
      <c r="E19" s="6"/>
      <c r="F19" s="6"/>
      <c r="G19" s="20" t="s">
        <v>140</v>
      </c>
      <c r="H19" s="20" t="s">
        <v>128</v>
      </c>
      <c r="I19" s="20">
        <v>75</v>
      </c>
      <c r="J19" s="20">
        <v>200</v>
      </c>
      <c r="K19" s="20" t="str">
        <f>IF(AND(IFERROR(FIND("D",G19)&gt;0,FALSE),J19&gt;=200),"수도관 확인","")</f>
        <v>수도관 확인</v>
      </c>
    </row>
    <row r="20" spans="1:11">
      <c r="A20" s="8" t="s">
        <v>3</v>
      </c>
      <c r="B20" s="8">
        <v>27</v>
      </c>
      <c r="C20" s="29">
        <v>2.8</v>
      </c>
      <c r="D20" s="8">
        <v>75</v>
      </c>
      <c r="E20" s="6"/>
      <c r="F20" s="6"/>
      <c r="G20" s="20" t="s">
        <v>137</v>
      </c>
      <c r="H20" s="20" t="s">
        <v>129</v>
      </c>
      <c r="I20" s="20">
        <v>45</v>
      </c>
      <c r="J20" s="20">
        <v>30</v>
      </c>
      <c r="K20" s="20" t="str">
        <f t="shared" ref="K20:K26" si="2">IF(AND(IFERROR(FIND("D",G20)&gt;0,FALSE),J20&gt;=200),"수도관 확인","")</f>
        <v/>
      </c>
    </row>
    <row r="21" spans="1:11">
      <c r="A21" s="8" t="s">
        <v>77</v>
      </c>
      <c r="B21" s="8">
        <v>30</v>
      </c>
      <c r="C21" s="29">
        <v>4.5</v>
      </c>
      <c r="D21" s="8">
        <v>10</v>
      </c>
      <c r="E21" s="6"/>
      <c r="F21" s="6"/>
      <c r="G21" s="20" t="s">
        <v>138</v>
      </c>
      <c r="H21" s="20" t="s">
        <v>130</v>
      </c>
      <c r="I21" s="20">
        <v>58</v>
      </c>
      <c r="J21" s="20">
        <v>50</v>
      </c>
      <c r="K21" s="20" t="str">
        <f t="shared" si="2"/>
        <v/>
      </c>
    </row>
    <row r="22" spans="1:11">
      <c r="E22" s="6"/>
      <c r="F22" s="6"/>
      <c r="G22" s="20" t="s">
        <v>139</v>
      </c>
      <c r="H22" s="20" t="s">
        <v>131</v>
      </c>
      <c r="I22" s="20">
        <v>68</v>
      </c>
      <c r="J22" s="20">
        <v>100</v>
      </c>
      <c r="K22" s="20" t="str">
        <f t="shared" si="2"/>
        <v/>
      </c>
    </row>
    <row r="23" spans="1:11">
      <c r="B23" s="82" t="s">
        <v>80</v>
      </c>
      <c r="C23" s="83"/>
      <c r="D23" s="8">
        <f>COUNTIFS(D14:D21,"&gt;=50",C14:C21,"&gt;=3.0")</f>
        <v>3</v>
      </c>
      <c r="E23" s="14"/>
      <c r="F23" s="14"/>
      <c r="G23" s="20" t="s">
        <v>136</v>
      </c>
      <c r="H23" s="20" t="s">
        <v>132</v>
      </c>
      <c r="I23" s="20">
        <v>81</v>
      </c>
      <c r="J23" s="20">
        <v>250</v>
      </c>
      <c r="K23" s="20" t="str">
        <f t="shared" si="2"/>
        <v>수도관 확인</v>
      </c>
    </row>
    <row r="24" spans="1:11">
      <c r="B24" s="3"/>
      <c r="C24" s="3"/>
      <c r="D24" s="3"/>
      <c r="E24" s="3"/>
      <c r="F24" s="3"/>
      <c r="G24" s="46" t="s">
        <v>142</v>
      </c>
      <c r="H24" s="20" t="s">
        <v>133</v>
      </c>
      <c r="I24" s="20">
        <v>73</v>
      </c>
      <c r="J24" s="20">
        <v>10</v>
      </c>
      <c r="K24" s="20" t="str">
        <f t="shared" si="2"/>
        <v/>
      </c>
    </row>
    <row r="25" spans="1:11">
      <c r="A25" s="3"/>
      <c r="B25" s="3"/>
      <c r="C25" s="3"/>
      <c r="D25" s="3"/>
      <c r="E25" s="3"/>
      <c r="F25" s="3"/>
      <c r="G25" s="47" t="s">
        <v>141</v>
      </c>
      <c r="H25" s="20" t="s">
        <v>134</v>
      </c>
      <c r="I25" s="20">
        <v>48</v>
      </c>
      <c r="J25" s="20">
        <v>70</v>
      </c>
      <c r="K25" s="20" t="str">
        <f t="shared" si="2"/>
        <v/>
      </c>
    </row>
    <row r="26" spans="1:11">
      <c r="A26" s="6" t="s">
        <v>17</v>
      </c>
      <c r="B26" s="6"/>
      <c r="C26" s="6"/>
      <c r="D26" s="7"/>
      <c r="E26" s="6"/>
      <c r="F26" s="6"/>
      <c r="G26" s="20" t="s">
        <v>143</v>
      </c>
      <c r="H26" s="20" t="s">
        <v>135</v>
      </c>
      <c r="I26" s="20">
        <v>90</v>
      </c>
      <c r="J26" s="20">
        <v>40</v>
      </c>
      <c r="K26" s="20" t="str">
        <f t="shared" si="2"/>
        <v/>
      </c>
    </row>
    <row r="27" spans="1:11" ht="33">
      <c r="A27" s="42" t="s">
        <v>105</v>
      </c>
      <c r="B27" s="44" t="s">
        <v>120</v>
      </c>
      <c r="C27" s="42" t="s">
        <v>109</v>
      </c>
      <c r="D27" s="42" t="s">
        <v>119</v>
      </c>
      <c r="E27" s="42" t="s">
        <v>121</v>
      </c>
      <c r="F27" s="3"/>
    </row>
    <row r="28" spans="1:11">
      <c r="A28" s="8" t="s">
        <v>92</v>
      </c>
      <c r="B28" s="41">
        <v>0.05</v>
      </c>
      <c r="C28" s="9" t="s">
        <v>110</v>
      </c>
      <c r="D28" s="43">
        <v>0.9375</v>
      </c>
      <c r="E28" s="8" t="str" cm="1">
        <f t="array" ref="E28">_xlfn.IFS(B28&gt;=0.15,"면허취소",B28&gt;=0.08,"면허정지",B28&gt;=0.03,"주의",B28&lt;0.03,"")</f>
        <v>주의</v>
      </c>
      <c r="F28" s="45"/>
    </row>
    <row r="29" spans="1:11">
      <c r="A29" s="8" t="s">
        <v>94</v>
      </c>
      <c r="B29" s="41">
        <v>0.08</v>
      </c>
      <c r="C29" s="9" t="s">
        <v>111</v>
      </c>
      <c r="D29" s="43">
        <v>0.96527777777777779</v>
      </c>
      <c r="E29" s="8" t="str" cm="1">
        <f t="array" ref="E29">_xlfn.IFS(B29&gt;=0.15,"면허취소",B29&gt;=0.08,"면허정지",B29&gt;=0.03,"주의",B29&lt;0.03,"")</f>
        <v>면허정지</v>
      </c>
      <c r="F29" s="45"/>
    </row>
    <row r="30" spans="1:11">
      <c r="A30" s="8" t="s">
        <v>96</v>
      </c>
      <c r="B30" s="41">
        <v>0.03</v>
      </c>
      <c r="C30" s="9" t="s">
        <v>112</v>
      </c>
      <c r="D30" s="43">
        <v>0.90625</v>
      </c>
      <c r="E30" s="8" t="str" cm="1">
        <f t="array" ref="E30">_xlfn.IFS(B30&gt;=0.15,"면허취소",B30&gt;=0.08,"면허정지",B30&gt;=0.03,"주의",B30&lt;0.03,"")</f>
        <v>주의</v>
      </c>
      <c r="F30" s="45"/>
    </row>
    <row r="31" spans="1:11">
      <c r="A31" s="8" t="s">
        <v>98</v>
      </c>
      <c r="B31" s="41">
        <v>0.12</v>
      </c>
      <c r="C31" s="9" t="s">
        <v>113</v>
      </c>
      <c r="D31" s="43">
        <v>1.0416666666666666E-2</v>
      </c>
      <c r="E31" s="8" t="str" cm="1">
        <f t="array" ref="E31">_xlfn.IFS(B31&gt;=0.15,"면허취소",B31&gt;=0.08,"면허정지",B31&gt;=0.03,"주의",B31&lt;0.03,"")</f>
        <v>면허정지</v>
      </c>
      <c r="F31" s="45"/>
    </row>
    <row r="32" spans="1:11">
      <c r="A32" s="8" t="s">
        <v>100</v>
      </c>
      <c r="B32" s="41">
        <v>0.15</v>
      </c>
      <c r="C32" s="9" t="s">
        <v>114</v>
      </c>
      <c r="D32" s="43">
        <v>6.25E-2</v>
      </c>
      <c r="E32" s="8" t="str" cm="1">
        <f t="array" ref="E32">_xlfn.IFS(B32&gt;=0.15,"면허취소",B32&gt;=0.08,"면허정지",B32&gt;=0.03,"주의",B32&lt;0.03,"")</f>
        <v>면허취소</v>
      </c>
      <c r="F32" s="45"/>
    </row>
    <row r="33" spans="1:13">
      <c r="A33" s="8" t="s">
        <v>104</v>
      </c>
      <c r="B33" s="41">
        <v>0.02</v>
      </c>
      <c r="C33" s="9" t="s">
        <v>115</v>
      </c>
      <c r="D33" s="43">
        <v>0.87152777777777779</v>
      </c>
      <c r="E33" s="8" t="str" cm="1">
        <f t="array" ref="E33">_xlfn.IFS(B33&gt;=0.15,"면허취소",B33&gt;=0.08,"면허정지",B33&gt;=0.03,"주의",B33&lt;0.03,"")</f>
        <v/>
      </c>
      <c r="F33" s="45"/>
    </row>
    <row r="34" spans="1:13">
      <c r="A34" s="8" t="s">
        <v>103</v>
      </c>
      <c r="B34" s="41">
        <v>0.1</v>
      </c>
      <c r="C34" s="9" t="s">
        <v>116</v>
      </c>
      <c r="D34" s="43">
        <v>8.3333333333333329E-2</v>
      </c>
      <c r="E34" s="8" t="str" cm="1">
        <f t="array" ref="E34">_xlfn.IFS(B34&gt;=0.15,"면허취소",B34&gt;=0.08,"면허정지",B34&gt;=0.03,"주의",B34&lt;0.03,"")</f>
        <v>면허정지</v>
      </c>
      <c r="F34" s="45"/>
    </row>
    <row r="35" spans="1:13">
      <c r="A35" s="8" t="s">
        <v>106</v>
      </c>
      <c r="B35" s="41">
        <v>0.25</v>
      </c>
      <c r="C35" s="9" t="s">
        <v>117</v>
      </c>
      <c r="D35" s="43">
        <v>0.91666666666666663</v>
      </c>
      <c r="E35" s="8" t="str" cm="1">
        <f t="array" ref="E35">_xlfn.IFS(B35&gt;=0.15,"면허취소",B35&gt;=0.08,"면허정지",B35&gt;=0.03,"주의",B35&lt;0.03,"")</f>
        <v>면허취소</v>
      </c>
      <c r="F35" s="45"/>
    </row>
    <row r="36" spans="1:13">
      <c r="A36" s="8" t="s">
        <v>108</v>
      </c>
      <c r="B36" s="41">
        <v>0.2</v>
      </c>
      <c r="C36" s="9" t="s">
        <v>118</v>
      </c>
      <c r="D36" s="43">
        <v>0.98958333333333337</v>
      </c>
      <c r="E36" s="8" t="str" cm="1">
        <f t="array" ref="E36">_xlfn.IFS(B36&gt;=0.15,"면허취소",B36&gt;=0.08,"면허정지",B36&gt;=0.03,"주의",B36&lt;0.03,"")</f>
        <v>면허취소</v>
      </c>
      <c r="F36" s="45"/>
    </row>
    <row r="38" spans="1:13">
      <c r="H38" s="10"/>
    </row>
    <row r="43" spans="1:13">
      <c r="I43" s="6"/>
    </row>
    <row r="44" spans="1:13">
      <c r="J44" s="6"/>
      <c r="K44" s="6"/>
      <c r="L44" s="6"/>
      <c r="M44" s="3"/>
    </row>
  </sheetData>
  <mergeCells count="1">
    <mergeCell ref="B23:C23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B260D-7B25-4098-8FA5-EBA89E7CF69E}">
  <sheetPr codeName="Sheet6"/>
  <dimension ref="A1:H37"/>
  <sheetViews>
    <sheetView workbookViewId="0"/>
  </sheetViews>
  <sheetFormatPr defaultRowHeight="16.5"/>
  <cols>
    <col min="1" max="1" width="10.375" customWidth="1"/>
    <col min="2" max="3" width="12.625" style="17" customWidth="1"/>
    <col min="4" max="5" width="16.25" customWidth="1"/>
    <col min="6" max="8" width="12.625" style="17" customWidth="1"/>
  </cols>
  <sheetData>
    <row r="1" spans="1:8" ht="20.25">
      <c r="A1" s="54" t="s">
        <v>191</v>
      </c>
      <c r="B1"/>
      <c r="C1"/>
      <c r="F1"/>
      <c r="G1"/>
      <c r="H1"/>
    </row>
    <row r="2" spans="1:8">
      <c r="B2"/>
      <c r="C2"/>
      <c r="F2"/>
      <c r="G2"/>
      <c r="H2"/>
    </row>
    <row r="3" spans="1:8">
      <c r="A3" s="72" t="s">
        <v>167</v>
      </c>
      <c r="B3" s="72" t="s">
        <v>43</v>
      </c>
      <c r="C3" s="72" t="s">
        <v>195</v>
      </c>
      <c r="D3" s="72" t="s">
        <v>192</v>
      </c>
      <c r="E3" s="72" t="s">
        <v>193</v>
      </c>
      <c r="F3" s="72" t="s">
        <v>168</v>
      </c>
      <c r="G3" s="72" t="s">
        <v>196</v>
      </c>
      <c r="H3" s="72" t="s">
        <v>197</v>
      </c>
    </row>
    <row r="4" spans="1:8">
      <c r="A4" s="23" t="s">
        <v>169</v>
      </c>
      <c r="B4" s="23" t="s">
        <v>47</v>
      </c>
      <c r="C4" s="23" t="s">
        <v>170</v>
      </c>
      <c r="D4" s="23">
        <v>1.2</v>
      </c>
      <c r="E4" s="23" t="s">
        <v>171</v>
      </c>
      <c r="F4" s="23" t="s">
        <v>172</v>
      </c>
      <c r="G4" s="23">
        <v>6.8</v>
      </c>
      <c r="H4" s="23" t="s">
        <v>173</v>
      </c>
    </row>
    <row r="5" spans="1:8">
      <c r="A5" s="23" t="s">
        <v>181</v>
      </c>
      <c r="B5" s="23" t="s">
        <v>47</v>
      </c>
      <c r="C5" s="23" t="s">
        <v>182</v>
      </c>
      <c r="D5" s="23">
        <v>3</v>
      </c>
      <c r="E5" s="23" t="s">
        <v>171</v>
      </c>
      <c r="F5" s="23" t="s">
        <v>177</v>
      </c>
      <c r="G5" s="23">
        <v>6.9</v>
      </c>
      <c r="H5" s="23" t="s">
        <v>173</v>
      </c>
    </row>
    <row r="6" spans="1:8">
      <c r="A6" s="23" t="s">
        <v>186</v>
      </c>
      <c r="B6" s="23" t="s">
        <v>47</v>
      </c>
      <c r="C6" s="23" t="s">
        <v>182</v>
      </c>
      <c r="D6" s="23">
        <v>4</v>
      </c>
      <c r="E6" s="23" t="s">
        <v>171</v>
      </c>
      <c r="F6" s="23" t="s">
        <v>177</v>
      </c>
      <c r="G6" s="23">
        <v>6.5</v>
      </c>
      <c r="H6" s="23" t="s">
        <v>173</v>
      </c>
    </row>
    <row r="7" spans="1:8">
      <c r="A7" s="23" t="s">
        <v>190</v>
      </c>
      <c r="B7" s="23" t="s">
        <v>47</v>
      </c>
      <c r="C7" s="23" t="s">
        <v>182</v>
      </c>
      <c r="D7" s="23">
        <v>2.5</v>
      </c>
      <c r="E7" s="23" t="s">
        <v>171</v>
      </c>
      <c r="F7" s="23" t="s">
        <v>177</v>
      </c>
      <c r="G7" s="23">
        <v>6.6</v>
      </c>
      <c r="H7" s="23" t="s">
        <v>173</v>
      </c>
    </row>
    <row r="8" spans="1:8">
      <c r="A8" s="23"/>
      <c r="B8" s="69" t="s">
        <v>273</v>
      </c>
      <c r="C8" s="23"/>
      <c r="D8" s="23">
        <f>SUBTOTAL(1,D4:D7)</f>
        <v>2.6749999999999998</v>
      </c>
      <c r="E8" s="23"/>
      <c r="F8" s="23"/>
      <c r="G8" s="23">
        <f>SUBTOTAL(1,G4:G7)</f>
        <v>6.6999999999999993</v>
      </c>
      <c r="H8" s="23"/>
    </row>
    <row r="9" spans="1:8">
      <c r="A9" s="23">
        <f>SUBTOTAL(3,A4:A7)</f>
        <v>4</v>
      </c>
      <c r="B9" s="69" t="s">
        <v>268</v>
      </c>
      <c r="C9" s="23"/>
      <c r="D9" s="23"/>
      <c r="E9" s="23"/>
      <c r="F9" s="23"/>
      <c r="G9" s="23"/>
      <c r="H9" s="23"/>
    </row>
    <row r="10" spans="1:8">
      <c r="A10" s="23" t="s">
        <v>183</v>
      </c>
      <c r="B10" s="23" t="s">
        <v>51</v>
      </c>
      <c r="C10" s="23" t="s">
        <v>170</v>
      </c>
      <c r="D10" s="23">
        <v>0.5</v>
      </c>
      <c r="E10" s="23" t="s">
        <v>176</v>
      </c>
      <c r="F10" s="23" t="s">
        <v>172</v>
      </c>
      <c r="G10" s="23">
        <v>7.2</v>
      </c>
      <c r="H10" s="23" t="s">
        <v>178</v>
      </c>
    </row>
    <row r="11" spans="1:8">
      <c r="A11" s="23" t="s">
        <v>187</v>
      </c>
      <c r="B11" s="23" t="s">
        <v>51</v>
      </c>
      <c r="C11" s="23" t="s">
        <v>170</v>
      </c>
      <c r="D11" s="23">
        <v>0.7</v>
      </c>
      <c r="E11" s="23" t="s">
        <v>176</v>
      </c>
      <c r="F11" s="23" t="s">
        <v>172</v>
      </c>
      <c r="G11" s="23">
        <v>7</v>
      </c>
      <c r="H11" s="23" t="s">
        <v>178</v>
      </c>
    </row>
    <row r="12" spans="1:8">
      <c r="A12" s="23"/>
      <c r="B12" s="69" t="s">
        <v>274</v>
      </c>
      <c r="C12" s="23"/>
      <c r="D12" s="23">
        <f>SUBTOTAL(1,D10:D11)</f>
        <v>0.6</v>
      </c>
      <c r="E12" s="23"/>
      <c r="F12" s="23"/>
      <c r="G12" s="23">
        <f>SUBTOTAL(1,G10:G11)</f>
        <v>7.1</v>
      </c>
      <c r="H12" s="23"/>
    </row>
    <row r="13" spans="1:8">
      <c r="A13" s="23">
        <f>SUBTOTAL(3,A10:A11)</f>
        <v>2</v>
      </c>
      <c r="B13" s="69" t="s">
        <v>269</v>
      </c>
      <c r="C13" s="23"/>
      <c r="D13" s="23"/>
      <c r="E13" s="23"/>
      <c r="F13" s="23"/>
      <c r="G13" s="23"/>
      <c r="H13" s="23"/>
    </row>
    <row r="14" spans="1:8">
      <c r="A14" s="23" t="s">
        <v>179</v>
      </c>
      <c r="B14" s="23" t="s">
        <v>49</v>
      </c>
      <c r="C14" s="23" t="s">
        <v>180</v>
      </c>
      <c r="D14" s="23">
        <v>0.8</v>
      </c>
      <c r="E14" s="23" t="s">
        <v>171</v>
      </c>
      <c r="F14" s="23" t="s">
        <v>172</v>
      </c>
      <c r="G14" s="23">
        <v>6.5</v>
      </c>
      <c r="H14" s="23" t="s">
        <v>173</v>
      </c>
    </row>
    <row r="15" spans="1:8">
      <c r="A15" s="23" t="s">
        <v>184</v>
      </c>
      <c r="B15" s="23" t="s">
        <v>49</v>
      </c>
      <c r="C15" s="23" t="s">
        <v>175</v>
      </c>
      <c r="D15" s="23">
        <v>0.01</v>
      </c>
      <c r="E15" s="23" t="s">
        <v>176</v>
      </c>
      <c r="F15" s="23" t="s">
        <v>177</v>
      </c>
      <c r="G15" s="23">
        <v>7.4</v>
      </c>
      <c r="H15" s="23" t="s">
        <v>178</v>
      </c>
    </row>
    <row r="16" spans="1:8">
      <c r="A16" s="23" t="s">
        <v>188</v>
      </c>
      <c r="B16" s="23" t="s">
        <v>49</v>
      </c>
      <c r="C16" s="23" t="s">
        <v>175</v>
      </c>
      <c r="D16" s="23">
        <v>0.03</v>
      </c>
      <c r="E16" s="23" t="s">
        <v>176</v>
      </c>
      <c r="F16" s="23" t="s">
        <v>177</v>
      </c>
      <c r="G16" s="23">
        <v>7.3</v>
      </c>
      <c r="H16" s="23" t="s">
        <v>178</v>
      </c>
    </row>
    <row r="17" spans="1:8">
      <c r="A17" s="23"/>
      <c r="B17" s="69" t="s">
        <v>275</v>
      </c>
      <c r="C17" s="23"/>
      <c r="D17" s="23">
        <f>SUBTOTAL(1,D14:D16)</f>
        <v>0.28000000000000003</v>
      </c>
      <c r="E17" s="23"/>
      <c r="F17" s="23"/>
      <c r="G17" s="23">
        <f>SUBTOTAL(1,G14:G16)</f>
        <v>7.0666666666666664</v>
      </c>
      <c r="H17" s="23"/>
    </row>
    <row r="18" spans="1:8">
      <c r="A18" s="23">
        <f>SUBTOTAL(3,A14:A16)</f>
        <v>3</v>
      </c>
      <c r="B18" s="69" t="s">
        <v>270</v>
      </c>
      <c r="C18" s="23"/>
      <c r="D18" s="23"/>
      <c r="E18" s="23"/>
      <c r="F18" s="23"/>
      <c r="G18" s="23"/>
      <c r="H18" s="23"/>
    </row>
    <row r="19" spans="1:8">
      <c r="A19" s="23" t="s">
        <v>174</v>
      </c>
      <c r="B19" s="23" t="s">
        <v>48</v>
      </c>
      <c r="C19" s="23" t="s">
        <v>175</v>
      </c>
      <c r="D19" s="23">
        <v>0.05</v>
      </c>
      <c r="E19" s="23" t="s">
        <v>176</v>
      </c>
      <c r="F19" s="23" t="s">
        <v>177</v>
      </c>
      <c r="G19" s="23">
        <v>7.1</v>
      </c>
      <c r="H19" s="23" t="s">
        <v>178</v>
      </c>
    </row>
    <row r="20" spans="1:8">
      <c r="A20" s="23" t="s">
        <v>185</v>
      </c>
      <c r="B20" s="23" t="s">
        <v>48</v>
      </c>
      <c r="C20" s="23" t="s">
        <v>180</v>
      </c>
      <c r="D20" s="23">
        <v>1.1000000000000001</v>
      </c>
      <c r="E20" s="23" t="s">
        <v>171</v>
      </c>
      <c r="F20" s="23" t="s">
        <v>172</v>
      </c>
      <c r="G20" s="23">
        <v>6.7</v>
      </c>
      <c r="H20" s="23" t="s">
        <v>173</v>
      </c>
    </row>
    <row r="21" spans="1:8">
      <c r="A21" s="23" t="s">
        <v>189</v>
      </c>
      <c r="B21" s="23" t="s">
        <v>48</v>
      </c>
      <c r="C21" s="23" t="s">
        <v>180</v>
      </c>
      <c r="D21" s="23">
        <v>0.9</v>
      </c>
      <c r="E21" s="23" t="s">
        <v>171</v>
      </c>
      <c r="F21" s="23" t="s">
        <v>172</v>
      </c>
      <c r="G21" s="23">
        <v>6.8</v>
      </c>
      <c r="H21" s="23" t="s">
        <v>173</v>
      </c>
    </row>
    <row r="22" spans="1:8">
      <c r="A22" s="70"/>
      <c r="B22" s="71" t="s">
        <v>276</v>
      </c>
      <c r="C22" s="70"/>
      <c r="D22" s="70">
        <f>SUBTOTAL(1,D19:D21)</f>
        <v>0.68333333333333346</v>
      </c>
      <c r="E22" s="70"/>
      <c r="F22" s="70"/>
      <c r="G22" s="70">
        <f>SUBTOTAL(1,G19:G21)</f>
        <v>6.8666666666666671</v>
      </c>
      <c r="H22" s="70"/>
    </row>
    <row r="23" spans="1:8">
      <c r="A23" s="70">
        <f>SUBTOTAL(3,A19:A21)</f>
        <v>3</v>
      </c>
      <c r="B23" s="71" t="s">
        <v>271</v>
      </c>
      <c r="C23" s="70"/>
      <c r="D23" s="70"/>
      <c r="E23" s="70"/>
      <c r="F23" s="70"/>
      <c r="G23" s="70"/>
      <c r="H23" s="70"/>
    </row>
    <row r="24" spans="1:8">
      <c r="A24" s="70"/>
      <c r="B24" s="71" t="s">
        <v>277</v>
      </c>
      <c r="C24" s="70"/>
      <c r="D24" s="70">
        <f>SUBTOTAL(1,D4:D21)</f>
        <v>1.2324999999999999</v>
      </c>
      <c r="E24" s="70"/>
      <c r="F24" s="70"/>
      <c r="G24" s="70">
        <f>SUBTOTAL(1,G4:G21)</f>
        <v>6.8999999999999995</v>
      </c>
      <c r="H24" s="70"/>
    </row>
    <row r="25" spans="1:8">
      <c r="A25" s="70">
        <f>SUBTOTAL(3,A4:A21)</f>
        <v>12</v>
      </c>
      <c r="B25" s="71" t="s">
        <v>272</v>
      </c>
      <c r="C25" s="70"/>
      <c r="D25" s="70"/>
      <c r="E25" s="70"/>
      <c r="F25" s="70"/>
      <c r="G25" s="70"/>
      <c r="H25" s="70"/>
    </row>
    <row r="26" spans="1:8">
      <c r="B26"/>
      <c r="C26"/>
      <c r="F26"/>
      <c r="G26"/>
      <c r="H26"/>
    </row>
    <row r="27" spans="1:8">
      <c r="B27"/>
      <c r="C27"/>
      <c r="F27"/>
      <c r="G27"/>
      <c r="H27"/>
    </row>
    <row r="28" spans="1:8">
      <c r="B28"/>
      <c r="C28"/>
      <c r="F28"/>
      <c r="G28"/>
      <c r="H28"/>
    </row>
    <row r="29" spans="1:8">
      <c r="B29"/>
      <c r="C29"/>
      <c r="F29"/>
      <c r="G29"/>
      <c r="H29"/>
    </row>
    <row r="30" spans="1:8">
      <c r="B30"/>
      <c r="C30"/>
      <c r="F30"/>
      <c r="G30"/>
      <c r="H30"/>
    </row>
    <row r="31" spans="1:8">
      <c r="B31"/>
      <c r="C31"/>
      <c r="F31"/>
      <c r="G31"/>
      <c r="H31"/>
    </row>
    <row r="32" spans="1:8">
      <c r="B32"/>
      <c r="C32"/>
      <c r="F32"/>
      <c r="G32"/>
      <c r="H32"/>
    </row>
    <row r="33" customFormat="1"/>
    <row r="34" customFormat="1"/>
    <row r="35" customFormat="1"/>
    <row r="36" customFormat="1"/>
    <row r="37" customFormat="1"/>
  </sheetData>
  <sortState xmlns:xlrd2="http://schemas.microsoft.com/office/spreadsheetml/2017/richdata2" ref="A4:H21">
    <sortCondition ref="B4:B21" customList="서울,인천,대전,부산"/>
  </sortState>
  <dataConsolidate topLabels="1">
    <dataRefs count="3">
      <dataRef ref="A4:D8" sheet="분석작업-1"/>
      <dataRef ref="A11:D15" sheet="분석작업-1"/>
      <dataRef ref="A18:D22" sheet="분석작업-1"/>
    </dataRefs>
  </dataConsolidate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A892-2766-4EB1-B841-6F5C5750B8C1}">
  <sheetPr codeName="Sheet5"/>
  <dimension ref="A1:M15"/>
  <sheetViews>
    <sheetView workbookViewId="0"/>
  </sheetViews>
  <sheetFormatPr defaultRowHeight="16.5"/>
  <cols>
    <col min="1" max="1" width="9.375" customWidth="1"/>
    <col min="2" max="2" width="11.25" bestFit="1" customWidth="1"/>
    <col min="3" max="3" width="9.375" customWidth="1"/>
    <col min="4" max="4" width="12.25" customWidth="1"/>
    <col min="5" max="5" width="10.375" bestFit="1" customWidth="1"/>
    <col min="6" max="6" width="13" bestFit="1" customWidth="1"/>
    <col min="7" max="7" width="12.75" customWidth="1"/>
    <col min="9" max="9" width="9.5" bestFit="1" customWidth="1"/>
    <col min="10" max="13" width="16.625" bestFit="1" customWidth="1"/>
    <col min="14" max="14" width="21.5" bestFit="1" customWidth="1"/>
    <col min="15" max="15" width="20.125" bestFit="1" customWidth="1"/>
  </cols>
  <sheetData>
    <row r="1" spans="1:13" ht="25.15" customHeight="1">
      <c r="A1" s="50" t="s">
        <v>285</v>
      </c>
      <c r="B1" s="16"/>
      <c r="C1" s="16"/>
      <c r="D1" s="16"/>
      <c r="E1" s="16"/>
      <c r="F1" s="16"/>
      <c r="G1" s="49"/>
    </row>
    <row r="2" spans="1:13">
      <c r="A2" s="3"/>
      <c r="B2" s="3"/>
      <c r="C2" s="3"/>
      <c r="D2" s="3"/>
      <c r="E2" s="3"/>
    </row>
    <row r="3" spans="1:13">
      <c r="A3" s="51" t="s">
        <v>123</v>
      </c>
      <c r="B3" s="51" t="s">
        <v>147</v>
      </c>
      <c r="C3" s="51" t="s">
        <v>43</v>
      </c>
      <c r="D3" s="51" t="s">
        <v>148</v>
      </c>
      <c r="E3" s="51" t="s">
        <v>144</v>
      </c>
      <c r="F3" s="51" t="s">
        <v>126</v>
      </c>
      <c r="G3" s="51" t="s">
        <v>160</v>
      </c>
      <c r="I3" s="78"/>
      <c r="J3" s="68" t="s">
        <v>160</v>
      </c>
      <c r="K3" s="68" t="s">
        <v>266</v>
      </c>
      <c r="L3" s="78"/>
      <c r="M3" s="78"/>
    </row>
    <row r="4" spans="1:13">
      <c r="A4" s="20" t="s">
        <v>127</v>
      </c>
      <c r="B4" s="20" t="s">
        <v>91</v>
      </c>
      <c r="C4" s="20" t="s">
        <v>47</v>
      </c>
      <c r="D4" s="30">
        <v>46082</v>
      </c>
      <c r="E4" s="5">
        <v>20</v>
      </c>
      <c r="F4" s="18">
        <v>12000</v>
      </c>
      <c r="G4" s="20" t="s">
        <v>161</v>
      </c>
      <c r="I4" s="78"/>
      <c r="J4" s="84" t="s">
        <v>162</v>
      </c>
      <c r="K4" s="85"/>
      <c r="L4" s="84" t="s">
        <v>161</v>
      </c>
      <c r="M4" s="85"/>
    </row>
    <row r="5" spans="1:13">
      <c r="A5" s="20" t="s">
        <v>149</v>
      </c>
      <c r="B5" s="20" t="s">
        <v>93</v>
      </c>
      <c r="C5" s="20" t="s">
        <v>48</v>
      </c>
      <c r="D5" s="30">
        <v>46083</v>
      </c>
      <c r="E5" s="5">
        <v>35</v>
      </c>
      <c r="F5" s="18">
        <v>21000</v>
      </c>
      <c r="G5" s="20" t="s">
        <v>161</v>
      </c>
      <c r="I5" s="68" t="s">
        <v>43</v>
      </c>
      <c r="J5" s="77" t="s">
        <v>264</v>
      </c>
      <c r="K5" s="77" t="s">
        <v>265</v>
      </c>
      <c r="L5" s="77" t="s">
        <v>264</v>
      </c>
      <c r="M5" s="77" t="s">
        <v>265</v>
      </c>
    </row>
    <row r="6" spans="1:13">
      <c r="A6" s="20" t="s">
        <v>150</v>
      </c>
      <c r="B6" s="20" t="s">
        <v>95</v>
      </c>
      <c r="C6" s="20" t="s">
        <v>49</v>
      </c>
      <c r="D6" s="30">
        <v>46084</v>
      </c>
      <c r="E6" s="5">
        <v>40</v>
      </c>
      <c r="F6" s="18">
        <v>24000</v>
      </c>
      <c r="G6" s="20" t="s">
        <v>161</v>
      </c>
      <c r="I6" s="78" t="s">
        <v>47</v>
      </c>
      <c r="J6" s="66">
        <v>120</v>
      </c>
      <c r="K6" s="67">
        <v>24000</v>
      </c>
      <c r="L6" s="66">
        <v>20</v>
      </c>
      <c r="M6" s="67">
        <v>12000</v>
      </c>
    </row>
    <row r="7" spans="1:13">
      <c r="A7" s="20" t="s">
        <v>151</v>
      </c>
      <c r="B7" s="20" t="s">
        <v>97</v>
      </c>
      <c r="C7" s="20" t="s">
        <v>47</v>
      </c>
      <c r="D7" s="30">
        <v>46085</v>
      </c>
      <c r="E7" s="5">
        <v>50</v>
      </c>
      <c r="F7" s="18">
        <v>30000</v>
      </c>
      <c r="G7" s="20" t="s">
        <v>162</v>
      </c>
      <c r="I7" s="78" t="s">
        <v>51</v>
      </c>
      <c r="J7" s="66" t="s">
        <v>267</v>
      </c>
      <c r="K7" s="67" t="s">
        <v>267</v>
      </c>
      <c r="L7" s="66">
        <v>70</v>
      </c>
      <c r="M7" s="67">
        <v>21000</v>
      </c>
    </row>
    <row r="8" spans="1:13">
      <c r="A8" s="20" t="s">
        <v>152</v>
      </c>
      <c r="B8" s="20" t="s">
        <v>99</v>
      </c>
      <c r="C8" s="20" t="s">
        <v>51</v>
      </c>
      <c r="D8" s="30">
        <v>46086</v>
      </c>
      <c r="E8" s="5">
        <v>25</v>
      </c>
      <c r="F8" s="18">
        <v>15000</v>
      </c>
      <c r="G8" s="20" t="s">
        <v>161</v>
      </c>
      <c r="I8" s="78" t="s">
        <v>49</v>
      </c>
      <c r="J8" s="66">
        <v>50</v>
      </c>
      <c r="K8" s="67">
        <v>15000</v>
      </c>
      <c r="L8" s="66">
        <v>40</v>
      </c>
      <c r="M8" s="67">
        <v>24000</v>
      </c>
    </row>
    <row r="9" spans="1:13">
      <c r="A9" s="20" t="s">
        <v>153</v>
      </c>
      <c r="B9" s="20" t="s">
        <v>101</v>
      </c>
      <c r="C9" s="20" t="s">
        <v>49</v>
      </c>
      <c r="D9" s="30">
        <v>46087</v>
      </c>
      <c r="E9" s="5">
        <v>30</v>
      </c>
      <c r="F9" s="18">
        <v>18000</v>
      </c>
      <c r="G9" s="20" t="s">
        <v>162</v>
      </c>
      <c r="I9" s="78" t="s">
        <v>48</v>
      </c>
      <c r="J9" s="66">
        <v>30</v>
      </c>
      <c r="K9" s="67">
        <v>18000</v>
      </c>
      <c r="L9" s="66">
        <v>95</v>
      </c>
      <c r="M9" s="67">
        <v>28500</v>
      </c>
    </row>
    <row r="10" spans="1:13">
      <c r="A10" s="20" t="s">
        <v>154</v>
      </c>
      <c r="B10" s="20" t="s">
        <v>102</v>
      </c>
      <c r="C10" s="20" t="s">
        <v>48</v>
      </c>
      <c r="D10" s="30">
        <v>46088</v>
      </c>
      <c r="E10" s="5">
        <v>60</v>
      </c>
      <c r="F10" s="18">
        <v>36000</v>
      </c>
      <c r="G10" s="20" t="s">
        <v>161</v>
      </c>
      <c r="I10" s="78" t="s">
        <v>263</v>
      </c>
      <c r="J10" s="66">
        <v>200</v>
      </c>
      <c r="K10" s="67">
        <v>20000</v>
      </c>
      <c r="L10" s="66">
        <v>225</v>
      </c>
      <c r="M10" s="67">
        <v>22500</v>
      </c>
    </row>
    <row r="11" spans="1:13">
      <c r="A11" s="20" t="s">
        <v>155</v>
      </c>
      <c r="B11" s="20" t="s">
        <v>156</v>
      </c>
      <c r="C11" s="20" t="s">
        <v>47</v>
      </c>
      <c r="D11" s="30">
        <v>46089</v>
      </c>
      <c r="E11" s="5">
        <v>15</v>
      </c>
      <c r="F11" s="18">
        <v>9000</v>
      </c>
      <c r="G11" s="20" t="s">
        <v>162</v>
      </c>
    </row>
    <row r="12" spans="1:13">
      <c r="A12" s="20" t="s">
        <v>157</v>
      </c>
      <c r="B12" s="20" t="s">
        <v>158</v>
      </c>
      <c r="C12" s="20" t="s">
        <v>51</v>
      </c>
      <c r="D12" s="30">
        <v>46090</v>
      </c>
      <c r="E12" s="5">
        <v>45</v>
      </c>
      <c r="F12" s="18">
        <v>27000</v>
      </c>
      <c r="G12" s="20" t="s">
        <v>161</v>
      </c>
    </row>
    <row r="13" spans="1:13">
      <c r="A13" s="20" t="s">
        <v>159</v>
      </c>
      <c r="B13" s="20" t="s">
        <v>107</v>
      </c>
      <c r="C13" s="20" t="s">
        <v>47</v>
      </c>
      <c r="D13" s="30">
        <v>46091</v>
      </c>
      <c r="E13" s="5">
        <v>55</v>
      </c>
      <c r="F13" s="18">
        <v>33000</v>
      </c>
      <c r="G13" s="20" t="s">
        <v>162</v>
      </c>
    </row>
    <row r="14" spans="1:13">
      <c r="A14" s="20" t="s">
        <v>163</v>
      </c>
      <c r="B14" s="20" t="s">
        <v>164</v>
      </c>
      <c r="C14" s="20" t="s">
        <v>48</v>
      </c>
      <c r="D14" s="30">
        <v>46092</v>
      </c>
      <c r="E14" s="5">
        <v>30</v>
      </c>
      <c r="F14" s="18">
        <v>18000</v>
      </c>
      <c r="G14" s="20" t="s">
        <v>162</v>
      </c>
    </row>
    <row r="15" spans="1:13">
      <c r="A15" s="20" t="s">
        <v>165</v>
      </c>
      <c r="B15" s="20" t="s">
        <v>166</v>
      </c>
      <c r="C15" s="20" t="s">
        <v>49</v>
      </c>
      <c r="D15" s="30">
        <v>46093</v>
      </c>
      <c r="E15" s="5">
        <v>20</v>
      </c>
      <c r="F15" s="18">
        <v>12000</v>
      </c>
      <c r="G15" s="20" t="s">
        <v>162</v>
      </c>
    </row>
  </sheetData>
  <sortState xmlns:xlrd2="http://schemas.microsoft.com/office/spreadsheetml/2017/richdata2" ref="A4:F12">
    <sortCondition ref="A4:A12"/>
  </sortState>
  <mergeCells count="2">
    <mergeCell ref="J4:K4"/>
    <mergeCell ref="L4:M4"/>
  </mergeCells>
  <phoneticPr fontId="2" type="noConversion"/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717A9-72A7-4162-A0F4-10D92AE87FDB}">
  <sheetPr codeName="Sheet7"/>
  <dimension ref="A1:F15"/>
  <sheetViews>
    <sheetView workbookViewId="0"/>
  </sheetViews>
  <sheetFormatPr defaultRowHeight="16.5"/>
  <cols>
    <col min="1" max="4" width="12.625" customWidth="1"/>
    <col min="5" max="5" width="9.5" customWidth="1"/>
    <col min="6" max="6" width="11.25" customWidth="1"/>
  </cols>
  <sheetData>
    <row r="1" spans="1:6" ht="26.25">
      <c r="A1" s="2" t="s">
        <v>232</v>
      </c>
      <c r="B1" s="2"/>
      <c r="C1" s="2"/>
      <c r="D1" s="2"/>
      <c r="E1" s="2"/>
    </row>
    <row r="2" spans="1:6">
      <c r="A2" s="3"/>
      <c r="B2" s="3"/>
      <c r="C2" s="3"/>
      <c r="D2" s="3"/>
    </row>
    <row r="3" spans="1:6" ht="17.45" customHeight="1">
      <c r="A3" s="73" t="s">
        <v>198</v>
      </c>
      <c r="B3" s="74" t="s">
        <v>216</v>
      </c>
      <c r="C3" s="75" t="s">
        <v>199</v>
      </c>
      <c r="D3" s="75" t="s">
        <v>217</v>
      </c>
      <c r="E3" s="76" t="s">
        <v>200</v>
      </c>
      <c r="F3" s="75" t="s">
        <v>215</v>
      </c>
    </row>
    <row r="4" spans="1:6" ht="17.45" customHeight="1">
      <c r="A4" s="55" t="s">
        <v>201</v>
      </c>
      <c r="B4" s="56">
        <v>15</v>
      </c>
      <c r="C4" s="57">
        <v>0.60555555555555551</v>
      </c>
      <c r="D4" s="57">
        <v>0.84513888888888899</v>
      </c>
      <c r="E4" s="55" t="s">
        <v>202</v>
      </c>
      <c r="F4" s="58">
        <f>D4-C4</f>
        <v>0.23958333333333348</v>
      </c>
    </row>
    <row r="5" spans="1:6" ht="17.45" customHeight="1">
      <c r="A5" s="23" t="s">
        <v>203</v>
      </c>
      <c r="B5" s="52">
        <v>4</v>
      </c>
      <c r="C5" s="27">
        <v>0.34375</v>
      </c>
      <c r="D5" s="27">
        <v>0.44791666666666669</v>
      </c>
      <c r="E5" s="23" t="s">
        <v>204</v>
      </c>
      <c r="F5" s="58">
        <f t="shared" ref="F5:F15" si="0">D5-C5</f>
        <v>0.10416666666666669</v>
      </c>
    </row>
    <row r="6" spans="1:6" ht="17.45" customHeight="1">
      <c r="A6" s="23" t="s">
        <v>205</v>
      </c>
      <c r="B6" s="52">
        <v>14</v>
      </c>
      <c r="C6" s="27">
        <v>0.40277777777777773</v>
      </c>
      <c r="D6" s="27">
        <v>0.84722222222222221</v>
      </c>
      <c r="E6" s="23" t="s">
        <v>202</v>
      </c>
      <c r="F6" s="58">
        <f t="shared" si="0"/>
        <v>0.44444444444444448</v>
      </c>
    </row>
    <row r="7" spans="1:6" ht="17.45" customHeight="1">
      <c r="A7" s="23" t="s">
        <v>206</v>
      </c>
      <c r="B7" s="52">
        <v>5</v>
      </c>
      <c r="C7" s="27">
        <v>4.5138888888888888E-2</v>
      </c>
      <c r="D7" s="27">
        <v>0.90277777777777779</v>
      </c>
      <c r="E7" s="23" t="s">
        <v>204</v>
      </c>
      <c r="F7" s="58">
        <f t="shared" si="0"/>
        <v>0.85763888888888895</v>
      </c>
    </row>
    <row r="8" spans="1:6" ht="17.45" customHeight="1">
      <c r="A8" s="23" t="s">
        <v>207</v>
      </c>
      <c r="B8" s="52">
        <v>16</v>
      </c>
      <c r="C8" s="27">
        <v>0.11805555555555557</v>
      </c>
      <c r="D8" s="27">
        <v>0.31944444444444448</v>
      </c>
      <c r="E8" s="23" t="s">
        <v>202</v>
      </c>
      <c r="F8" s="58">
        <f t="shared" si="0"/>
        <v>0.2013888888888889</v>
      </c>
    </row>
    <row r="9" spans="1:6" ht="17.45" customHeight="1">
      <c r="A9" s="23" t="s">
        <v>208</v>
      </c>
      <c r="B9" s="52">
        <v>3</v>
      </c>
      <c r="C9" s="27">
        <v>0.14583333333333334</v>
      </c>
      <c r="D9" s="27">
        <v>0.3298611111111111</v>
      </c>
      <c r="E9" s="23" t="s">
        <v>204</v>
      </c>
      <c r="F9" s="58">
        <f t="shared" si="0"/>
        <v>0.18402777777777776</v>
      </c>
    </row>
    <row r="10" spans="1:6" ht="17.45" customHeight="1">
      <c r="A10" s="23" t="s">
        <v>209</v>
      </c>
      <c r="B10" s="52">
        <v>24</v>
      </c>
      <c r="C10" s="27">
        <v>9.7222222222222224E-2</v>
      </c>
      <c r="D10" s="27">
        <v>0.63888888888888895</v>
      </c>
      <c r="E10" s="23" t="s">
        <v>202</v>
      </c>
      <c r="F10" s="58">
        <f t="shared" si="0"/>
        <v>0.54166666666666674</v>
      </c>
    </row>
    <row r="11" spans="1:6" ht="17.45" customHeight="1">
      <c r="A11" s="23" t="s">
        <v>210</v>
      </c>
      <c r="B11" s="52">
        <v>5</v>
      </c>
      <c r="C11" s="27">
        <v>0.54513888888888895</v>
      </c>
      <c r="D11" s="27">
        <v>0.93958333333333333</v>
      </c>
      <c r="E11" s="23" t="s">
        <v>204</v>
      </c>
      <c r="F11" s="58">
        <f t="shared" si="0"/>
        <v>0.39444444444444438</v>
      </c>
    </row>
    <row r="12" spans="1:6" ht="17.45" customHeight="1">
      <c r="A12" s="23" t="s">
        <v>211</v>
      </c>
      <c r="B12" s="52">
        <v>13</v>
      </c>
      <c r="C12" s="27">
        <v>0.12847222222222224</v>
      </c>
      <c r="D12" s="27">
        <v>0.72916666666666663</v>
      </c>
      <c r="E12" s="23" t="s">
        <v>202</v>
      </c>
      <c r="F12" s="58">
        <f t="shared" si="0"/>
        <v>0.60069444444444442</v>
      </c>
    </row>
    <row r="13" spans="1:6" ht="17.45" customHeight="1">
      <c r="A13" s="23" t="s">
        <v>212</v>
      </c>
      <c r="B13" s="52">
        <v>7</v>
      </c>
      <c r="C13" s="27">
        <v>0.3125</v>
      </c>
      <c r="D13" s="27">
        <v>0.41805555555555557</v>
      </c>
      <c r="E13" s="23" t="s">
        <v>204</v>
      </c>
      <c r="F13" s="58">
        <f t="shared" si="0"/>
        <v>0.10555555555555557</v>
      </c>
    </row>
    <row r="14" spans="1:6" ht="17.45" customHeight="1">
      <c r="A14" s="23" t="s">
        <v>213</v>
      </c>
      <c r="B14" s="52">
        <v>12</v>
      </c>
      <c r="C14" s="27">
        <v>0.11805555555555557</v>
      </c>
      <c r="D14" s="27">
        <v>0.65277777777777779</v>
      </c>
      <c r="E14" s="23" t="s">
        <v>202</v>
      </c>
      <c r="F14" s="58">
        <f t="shared" si="0"/>
        <v>0.53472222222222221</v>
      </c>
    </row>
    <row r="15" spans="1:6" ht="17.45" customHeight="1">
      <c r="A15" s="23" t="s">
        <v>214</v>
      </c>
      <c r="B15" s="52">
        <v>4</v>
      </c>
      <c r="C15" s="27">
        <v>0.55555555555555558</v>
      </c>
      <c r="D15" s="27">
        <v>0.66319444444444442</v>
      </c>
      <c r="E15" s="23" t="s">
        <v>204</v>
      </c>
      <c r="F15" s="58">
        <f t="shared" si="0"/>
        <v>0.10763888888888884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소요시간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165CE-BBB4-4FB9-A2FB-E718A259B54D}">
  <dimension ref="B1:G12"/>
  <sheetViews>
    <sheetView workbookViewId="0"/>
  </sheetViews>
  <sheetFormatPr defaultRowHeight="16.5"/>
  <cols>
    <col min="1" max="1" width="5.75" customWidth="1"/>
    <col min="2" max="2" width="15.5" customWidth="1"/>
    <col min="3" max="6" width="11.25" customWidth="1"/>
    <col min="7" max="7" width="12.375" customWidth="1"/>
  </cols>
  <sheetData>
    <row r="1" spans="2:7" ht="20.25">
      <c r="B1" s="53" t="s">
        <v>231</v>
      </c>
    </row>
    <row r="3" spans="2:7">
      <c r="G3" s="1" t="s">
        <v>230</v>
      </c>
    </row>
    <row r="4" spans="2:7">
      <c r="B4" s="48" t="s">
        <v>194</v>
      </c>
      <c r="C4" s="48" t="s">
        <v>226</v>
      </c>
      <c r="D4" s="48" t="s">
        <v>227</v>
      </c>
      <c r="E4" s="48" t="s">
        <v>228</v>
      </c>
      <c r="F4" s="48" t="s">
        <v>229</v>
      </c>
      <c r="G4" s="48" t="s">
        <v>278</v>
      </c>
    </row>
    <row r="5" spans="2:7">
      <c r="B5" s="20" t="s">
        <v>221</v>
      </c>
      <c r="C5" s="15">
        <v>61.6</v>
      </c>
      <c r="D5" s="15">
        <v>96.9</v>
      </c>
      <c r="E5" s="15">
        <v>60.3</v>
      </c>
      <c r="F5" s="15">
        <v>42</v>
      </c>
      <c r="G5" s="15">
        <v>44.6</v>
      </c>
    </row>
    <row r="6" spans="2:7">
      <c r="B6" s="20" t="s">
        <v>224</v>
      </c>
      <c r="C6" s="15">
        <v>2.1</v>
      </c>
      <c r="D6" s="15">
        <v>4.3</v>
      </c>
      <c r="E6" s="15">
        <v>4.8</v>
      </c>
      <c r="F6" s="15">
        <v>4.5999999999999996</v>
      </c>
      <c r="G6" s="15">
        <v>2.9</v>
      </c>
    </row>
    <row r="7" spans="2:7">
      <c r="B7" s="20" t="s">
        <v>225</v>
      </c>
      <c r="C7" s="15">
        <v>0</v>
      </c>
      <c r="D7" s="15">
        <v>0</v>
      </c>
      <c r="E7" s="15">
        <v>0.4</v>
      </c>
      <c r="F7" s="15">
        <v>0</v>
      </c>
      <c r="G7" s="15">
        <v>0</v>
      </c>
    </row>
    <row r="8" spans="2:7">
      <c r="B8" s="20" t="s">
        <v>223</v>
      </c>
      <c r="C8" s="15">
        <v>39.1</v>
      </c>
      <c r="D8" s="15">
        <v>49.8</v>
      </c>
      <c r="E8" s="15">
        <v>64.7</v>
      </c>
      <c r="F8" s="15">
        <v>73.5</v>
      </c>
      <c r="G8" s="15">
        <v>70.599999999999994</v>
      </c>
    </row>
    <row r="9" spans="2:7">
      <c r="B9" s="20" t="s">
        <v>222</v>
      </c>
      <c r="C9" s="15">
        <v>67.2</v>
      </c>
      <c r="D9" s="15">
        <v>66.900000000000006</v>
      </c>
      <c r="E9" s="15">
        <v>81.900000000000006</v>
      </c>
      <c r="F9" s="15">
        <v>11.8</v>
      </c>
      <c r="G9" s="15">
        <v>3</v>
      </c>
    </row>
    <row r="10" spans="2:7">
      <c r="B10" s="20" t="s">
        <v>219</v>
      </c>
      <c r="C10" s="15">
        <v>4.7</v>
      </c>
      <c r="D10" s="15">
        <v>89</v>
      </c>
      <c r="E10" s="15">
        <v>66</v>
      </c>
      <c r="F10" s="15">
        <v>9</v>
      </c>
      <c r="G10" s="15">
        <v>140.80000000000001</v>
      </c>
    </row>
    <row r="11" spans="2:7">
      <c r="B11" s="20" t="s">
        <v>220</v>
      </c>
      <c r="C11" s="15">
        <v>83.2</v>
      </c>
      <c r="D11" s="15">
        <v>101</v>
      </c>
      <c r="E11" s="15">
        <v>142</v>
      </c>
      <c r="F11" s="15">
        <v>148.19999999999999</v>
      </c>
      <c r="G11" s="15">
        <v>121.3</v>
      </c>
    </row>
    <row r="12" spans="2:7">
      <c r="B12" s="20" t="s">
        <v>218</v>
      </c>
      <c r="C12" s="15">
        <v>17.899999999999999</v>
      </c>
      <c r="D12" s="15">
        <v>33.4</v>
      </c>
      <c r="E12" s="15">
        <v>21</v>
      </c>
      <c r="F12" s="15">
        <v>27.7</v>
      </c>
      <c r="G12" s="15">
        <v>19.600000000000001</v>
      </c>
    </row>
  </sheetData>
  <sortState xmlns:xlrd2="http://schemas.microsoft.com/office/spreadsheetml/2017/richdata2" ref="B5:G12">
    <sortCondition ref="B5:B12"/>
  </sortState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제품명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User</cp:lastModifiedBy>
  <dcterms:created xsi:type="dcterms:W3CDTF">2023-03-19T01:30:18Z</dcterms:created>
  <dcterms:modified xsi:type="dcterms:W3CDTF">2025-05-28T13:38:24Z</dcterms:modified>
</cp:coreProperties>
</file>