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기본서\2024컴활2급\상시기출문제\정답\"/>
    </mc:Choice>
  </mc:AlternateContent>
  <xr:revisionPtr revIDLastSave="0" documentId="13_ncr:1_{81B23D99-07AD-4922-B557-6F4967911EBE}" xr6:coauthVersionLast="47" xr6:coauthVersionMax="47" xr10:uidLastSave="{00000000-0000-0000-0000-000000000000}"/>
  <bookViews>
    <workbookView xWindow="17085" yWindow="1500" windowWidth="17100" windowHeight="13845" tabRatio="869" xr2:uid="{00000000-000D-0000-FFFF-FFFF00000000}"/>
  </bookViews>
  <sheets>
    <sheet name="기본작업-1" sheetId="1" r:id="rId1"/>
    <sheet name="기본작업-2" sheetId="9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4" i="7"/>
  <c r="D24" i="5"/>
  <c r="C24" i="5"/>
  <c r="D17" i="5"/>
  <c r="C17" i="5"/>
  <c r="D10" i="5"/>
  <c r="D26" i="5" s="1"/>
  <c r="C10" i="5"/>
  <c r="C26" i="5" s="1"/>
  <c r="E25" i="5"/>
  <c r="E18" i="5"/>
  <c r="E11" i="5"/>
  <c r="E27" i="5" s="1"/>
  <c r="J9" i="4" l="1"/>
  <c r="G11" i="4" l="1"/>
  <c r="H11" i="4"/>
  <c r="H12" i="4"/>
  <c r="G12" i="4"/>
  <c r="H10" i="4"/>
  <c r="G10" i="4"/>
  <c r="H9" i="4"/>
  <c r="G9" i="4"/>
  <c r="H8" i="4"/>
  <c r="G8" i="4"/>
  <c r="H7" i="4"/>
  <c r="G7" i="4"/>
  <c r="J6" i="4"/>
  <c r="H6" i="4"/>
  <c r="G6" i="4"/>
  <c r="H5" i="4"/>
  <c r="G5" i="4"/>
  <c r="H4" i="4"/>
  <c r="G4" i="4"/>
  <c r="J3" i="4"/>
  <c r="H3" i="4"/>
  <c r="G3" i="4"/>
  <c r="F5" i="8"/>
  <c r="F6" i="8"/>
  <c r="F7" i="8"/>
  <c r="F8" i="8"/>
  <c r="F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7" authorId="0" shapeId="0" xr:uid="{FF1EF0A0-B7D2-46BF-9B74-084228A28FA8}">
      <text>
        <r>
          <rPr>
            <b/>
            <sz val="9"/>
            <color indexed="81"/>
            <rFont val="돋움"/>
            <family val="3"/>
            <charset val="129"/>
          </rPr>
          <t>인기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</text>
    </comment>
  </commentList>
</comments>
</file>

<file path=xl/sharedStrings.xml><?xml version="1.0" encoding="utf-8"?>
<sst xmlns="http://schemas.openxmlformats.org/spreadsheetml/2006/main" count="285" uniqueCount="217">
  <si>
    <t>오펀스</t>
    <phoneticPr fontId="1" type="noConversion"/>
  </si>
  <si>
    <t>보잉보잉</t>
    <phoneticPr fontId="1" type="noConversion"/>
  </si>
  <si>
    <t>한뼘 사이</t>
    <phoneticPr fontId="1" type="noConversion"/>
  </si>
  <si>
    <t>라온아트홀</t>
    <phoneticPr fontId="1" type="noConversion"/>
  </si>
  <si>
    <t>아트원씨어터</t>
    <phoneticPr fontId="1" type="noConversion"/>
  </si>
  <si>
    <t>150분</t>
    <phoneticPr fontId="1" type="noConversion"/>
  </si>
  <si>
    <t>러닝타임</t>
    <phoneticPr fontId="1" type="noConversion"/>
  </si>
  <si>
    <t>관람료</t>
    <phoneticPr fontId="1" type="noConversion"/>
  </si>
  <si>
    <t>장소</t>
    <phoneticPr fontId="1" type="noConversion"/>
  </si>
  <si>
    <t>공연명</t>
    <phoneticPr fontId="1" type="noConversion"/>
  </si>
  <si>
    <t>90분</t>
    <phoneticPr fontId="1" type="noConversion"/>
  </si>
  <si>
    <t>아트하우스</t>
    <phoneticPr fontId="1" type="noConversion"/>
  </si>
  <si>
    <t>헝키</t>
    <phoneticPr fontId="1" type="noConversion"/>
  </si>
  <si>
    <t>스튜디오블루</t>
    <phoneticPr fontId="1" type="noConversion"/>
  </si>
  <si>
    <t>올드위키드송</t>
    <phoneticPr fontId="1" type="noConversion"/>
  </si>
  <si>
    <t>스테이지</t>
    <phoneticPr fontId="1" type="noConversion"/>
  </si>
  <si>
    <t>150분</t>
    <phoneticPr fontId="1" type="noConversion"/>
  </si>
  <si>
    <t>110분</t>
    <phoneticPr fontId="1" type="noConversion"/>
  </si>
  <si>
    <t>뷰티풀 선데이</t>
    <phoneticPr fontId="1" type="noConversion"/>
  </si>
  <si>
    <t>가족</t>
    <phoneticPr fontId="1" type="noConversion"/>
  </si>
  <si>
    <t>해오름예술공원</t>
    <phoneticPr fontId="1" type="noConversion"/>
  </si>
  <si>
    <t>100분</t>
    <phoneticPr fontId="1" type="noConversion"/>
  </si>
  <si>
    <t>대학로 연극 공연 일정</t>
    <phoneticPr fontId="1" type="noConversion"/>
  </si>
  <si>
    <t>장르</t>
    <phoneticPr fontId="1" type="noConversion"/>
  </si>
  <si>
    <t>로맨스극</t>
    <phoneticPr fontId="1" type="noConversion"/>
  </si>
  <si>
    <t>평점</t>
    <phoneticPr fontId="1" type="noConversion"/>
  </si>
  <si>
    <t>드라마극</t>
    <phoneticPr fontId="1" type="noConversion"/>
  </si>
  <si>
    <t>코미디극</t>
    <phoneticPr fontId="1" type="noConversion"/>
  </si>
  <si>
    <t>드라마극</t>
    <phoneticPr fontId="1" type="noConversion"/>
  </si>
  <si>
    <t>드라마극</t>
    <phoneticPr fontId="1" type="noConversion"/>
  </si>
  <si>
    <t>드라마극</t>
    <phoneticPr fontId="1" type="noConversion"/>
  </si>
  <si>
    <t>공연코드</t>
    <phoneticPr fontId="1" type="noConversion"/>
  </si>
  <si>
    <t>OPS-150-D</t>
    <phoneticPr fontId="1" type="noConversion"/>
  </si>
  <si>
    <t>BOBO-90-C</t>
    <phoneticPr fontId="1" type="noConversion"/>
  </si>
  <si>
    <t>HPSI-100-R</t>
    <phoneticPr fontId="1" type="noConversion"/>
  </si>
  <si>
    <t>HK-90-D</t>
    <phoneticPr fontId="1" type="noConversion"/>
  </si>
  <si>
    <t>OWDS-150-D</t>
    <phoneticPr fontId="1" type="noConversion"/>
  </si>
  <si>
    <t>BTPSDI-110-D</t>
    <phoneticPr fontId="1" type="noConversion"/>
  </si>
  <si>
    <t>GG-90-D</t>
    <phoneticPr fontId="1" type="noConversion"/>
  </si>
  <si>
    <t>지역별 미수금 현황</t>
    <phoneticPr fontId="1" type="noConversion"/>
  </si>
  <si>
    <t>지역</t>
    <phoneticPr fontId="1" type="noConversion"/>
  </si>
  <si>
    <t>담당자</t>
    <phoneticPr fontId="1" type="noConversion"/>
  </si>
  <si>
    <t>매출액</t>
    <phoneticPr fontId="1" type="noConversion"/>
  </si>
  <si>
    <t>결제방식</t>
    <phoneticPr fontId="1" type="noConversion"/>
  </si>
  <si>
    <t>할인액</t>
    <phoneticPr fontId="1" type="noConversion"/>
  </si>
  <si>
    <t>수금액</t>
    <phoneticPr fontId="1" type="noConversion"/>
  </si>
  <si>
    <t>미수금</t>
    <phoneticPr fontId="1" type="noConversion"/>
  </si>
  <si>
    <t>인천</t>
    <phoneticPr fontId="1" type="noConversion"/>
  </si>
  <si>
    <t>현금</t>
    <phoneticPr fontId="1" type="noConversion"/>
  </si>
  <si>
    <t>대구</t>
    <phoneticPr fontId="1" type="noConversion"/>
  </si>
  <si>
    <t>김성운</t>
    <phoneticPr fontId="1" type="noConversion"/>
  </si>
  <si>
    <t>부산</t>
    <phoneticPr fontId="1" type="noConversion"/>
  </si>
  <si>
    <t>한채영</t>
    <phoneticPr fontId="1" type="noConversion"/>
  </si>
  <si>
    <t>광주</t>
    <phoneticPr fontId="1" type="noConversion"/>
  </si>
  <si>
    <t>이은주</t>
    <phoneticPr fontId="1" type="noConversion"/>
  </si>
  <si>
    <t>울산</t>
    <phoneticPr fontId="1" type="noConversion"/>
  </si>
  <si>
    <t>채진아</t>
    <phoneticPr fontId="1" type="noConversion"/>
  </si>
  <si>
    <t>강원도</t>
    <phoneticPr fontId="1" type="noConversion"/>
  </si>
  <si>
    <t>하지율</t>
    <phoneticPr fontId="1" type="noConversion"/>
  </si>
  <si>
    <t>전라도</t>
    <phoneticPr fontId="1" type="noConversion"/>
  </si>
  <si>
    <t>김정은</t>
    <phoneticPr fontId="1" type="noConversion"/>
  </si>
  <si>
    <t>경상도</t>
    <phoneticPr fontId="1" type="noConversion"/>
  </si>
  <si>
    <t>서울</t>
    <phoneticPr fontId="1" type="noConversion"/>
  </si>
  <si>
    <t>민방식</t>
    <phoneticPr fontId="1" type="noConversion"/>
  </si>
  <si>
    <t>카드</t>
    <phoneticPr fontId="1" type="noConversion"/>
  </si>
  <si>
    <t>대전</t>
    <phoneticPr fontId="1" type="noConversion"/>
  </si>
  <si>
    <t>안병욱</t>
    <phoneticPr fontId="1" type="noConversion"/>
  </si>
  <si>
    <t>충청도</t>
    <phoneticPr fontId="1" type="noConversion"/>
  </si>
  <si>
    <t>이찬성</t>
    <phoneticPr fontId="1" type="noConversion"/>
  </si>
  <si>
    <t>이형중</t>
    <phoneticPr fontId="1" type="noConversion"/>
  </si>
  <si>
    <t>이동현</t>
    <phoneticPr fontId="1" type="noConversion"/>
  </si>
  <si>
    <t>거래업체별 거래현황</t>
    <phoneticPr fontId="1" type="noConversion"/>
  </si>
  <si>
    <t>거래일자</t>
    <phoneticPr fontId="1" type="noConversion"/>
  </si>
  <si>
    <t>거래업체명</t>
    <phoneticPr fontId="1" type="noConversion"/>
  </si>
  <si>
    <t>거래금액</t>
    <phoneticPr fontId="1" type="noConversion"/>
  </si>
  <si>
    <t>실지급액</t>
    <phoneticPr fontId="1" type="noConversion"/>
  </si>
  <si>
    <t>미래상사</t>
  </si>
  <si>
    <t>우리상사</t>
  </si>
  <si>
    <t>영재상사</t>
  </si>
  <si>
    <t>미래상사</t>
    <phoneticPr fontId="1" type="noConversion"/>
  </si>
  <si>
    <t>우리상사</t>
    <phoneticPr fontId="1" type="noConversion"/>
  </si>
  <si>
    <t>집합형 디지털 새싹 캠프 현황</t>
    <phoneticPr fontId="1" type="noConversion"/>
  </si>
  <si>
    <t>참여대상</t>
    <phoneticPr fontId="1" type="noConversion"/>
  </si>
  <si>
    <t>프로그램명</t>
    <phoneticPr fontId="1" type="noConversion"/>
  </si>
  <si>
    <t>학교</t>
    <phoneticPr fontId="1" type="noConversion"/>
  </si>
  <si>
    <t>교육 일시</t>
    <phoneticPr fontId="1" type="noConversion"/>
  </si>
  <si>
    <t>시간</t>
    <phoneticPr fontId="1" type="noConversion"/>
  </si>
  <si>
    <t>초3</t>
    <phoneticPr fontId="1" type="noConversion"/>
  </si>
  <si>
    <t>자율주행차 캠프</t>
    <phoneticPr fontId="1" type="noConversion"/>
  </si>
  <si>
    <t>서울교육대학교</t>
    <phoneticPr fontId="1" type="noConversion"/>
  </si>
  <si>
    <t>2/17 ~ 2/18</t>
    <phoneticPr fontId="1" type="noConversion"/>
  </si>
  <si>
    <t>13:30 ~ 17:00</t>
    <phoneticPr fontId="1" type="noConversion"/>
  </si>
  <si>
    <t>재미있는 피지컬 컴퓨팅 캠프</t>
    <phoneticPr fontId="1" type="noConversion"/>
  </si>
  <si>
    <t>2/15 ~ 2/16</t>
    <phoneticPr fontId="1" type="noConversion"/>
  </si>
  <si>
    <t>09:00 ~ 12:30</t>
    <phoneticPr fontId="1" type="noConversion"/>
  </si>
  <si>
    <t>초3-4</t>
    <phoneticPr fontId="1" type="noConversion"/>
  </si>
  <si>
    <t>둠칫둠칫 AI 아뜰리에</t>
    <phoneticPr fontId="1" type="noConversion"/>
  </si>
  <si>
    <t>국민대학교</t>
    <phoneticPr fontId="1" type="noConversion"/>
  </si>
  <si>
    <t>2/20 ~ 2/23</t>
    <phoneticPr fontId="1" type="noConversion"/>
  </si>
  <si>
    <t>14:00 ~ 16:00</t>
    <phoneticPr fontId="1" type="noConversion"/>
  </si>
  <si>
    <t>경기</t>
    <phoneticPr fontId="1" type="noConversion"/>
  </si>
  <si>
    <t>초4-6</t>
    <phoneticPr fontId="1" type="noConversion"/>
  </si>
  <si>
    <t>화성에서 식물 키우기</t>
    <phoneticPr fontId="1" type="noConversion"/>
  </si>
  <si>
    <t>한국항공대</t>
    <phoneticPr fontId="1" type="noConversion"/>
  </si>
  <si>
    <t>2/11 ~ 2/12</t>
    <phoneticPr fontId="1" type="noConversion"/>
  </si>
  <si>
    <t>09:00 ~ 14:00</t>
    <phoneticPr fontId="1" type="noConversion"/>
  </si>
  <si>
    <t>아두이노로 식물 키워봐요!</t>
    <phoneticPr fontId="1" type="noConversion"/>
  </si>
  <si>
    <t>가천대학교</t>
    <phoneticPr fontId="1" type="noConversion"/>
  </si>
  <si>
    <t>2/10 ~ 2/11</t>
    <phoneticPr fontId="1" type="noConversion"/>
  </si>
  <si>
    <t>10:00 ~ 13:30</t>
    <phoneticPr fontId="1" type="noConversion"/>
  </si>
  <si>
    <t>중학교</t>
    <phoneticPr fontId="1" type="noConversion"/>
  </si>
  <si>
    <t>로봇을 활용한 인공지능 학습</t>
    <phoneticPr fontId="1" type="noConversion"/>
  </si>
  <si>
    <t>한성대학교</t>
    <phoneticPr fontId="1" type="noConversion"/>
  </si>
  <si>
    <t>2/13 ~ 2/14</t>
    <phoneticPr fontId="1" type="noConversion"/>
  </si>
  <si>
    <t>13:00 ~ 17:00</t>
    <phoneticPr fontId="1" type="noConversion"/>
  </si>
  <si>
    <t>영상분석기반 자율주행자동차</t>
    <phoneticPr fontId="1" type="noConversion"/>
  </si>
  <si>
    <t>한양대학교</t>
    <phoneticPr fontId="1" type="noConversion"/>
  </si>
  <si>
    <t>2/23 ~ 2/24</t>
    <phoneticPr fontId="1" type="noConversion"/>
  </si>
  <si>
    <t>09:00 ~ 16:00</t>
    <phoneticPr fontId="1" type="noConversion"/>
  </si>
  <si>
    <t>고등학교</t>
    <phoneticPr fontId="1" type="noConversion"/>
  </si>
  <si>
    <t>오렌지데이터마이닝 캠프</t>
    <phoneticPr fontId="1" type="noConversion"/>
  </si>
  <si>
    <t>성균관대학교</t>
    <phoneticPr fontId="1" type="noConversion"/>
  </si>
  <si>
    <t>2/25 ~ 2/26</t>
    <phoneticPr fontId="1" type="noConversion"/>
  </si>
  <si>
    <t>접수인원</t>
    <phoneticPr fontId="1" type="noConversion"/>
  </si>
  <si>
    <t>학교명</t>
    <phoneticPr fontId="1" type="noConversion"/>
  </si>
  <si>
    <t>1차</t>
    <phoneticPr fontId="1" type="noConversion"/>
  </si>
  <si>
    <t>2차</t>
  </si>
  <si>
    <t>3차</t>
  </si>
  <si>
    <t>4차</t>
  </si>
  <si>
    <t>5차</t>
  </si>
  <si>
    <t>평균</t>
    <phoneticPr fontId="1" type="noConversion"/>
  </si>
  <si>
    <t>디지털 새싹 참여 현황</t>
    <phoneticPr fontId="1" type="noConversion"/>
  </si>
  <si>
    <t>항공대학교</t>
    <phoneticPr fontId="1" type="noConversion"/>
  </si>
  <si>
    <t>상명대학교</t>
    <phoneticPr fontId="1" type="noConversion"/>
  </si>
  <si>
    <t>문화예술학교 회원 현황</t>
    <phoneticPr fontId="1" type="noConversion"/>
  </si>
  <si>
    <t>난타</t>
    <phoneticPr fontId="1" type="noConversion"/>
  </si>
  <si>
    <t>도예</t>
    <phoneticPr fontId="1" type="noConversion"/>
  </si>
  <si>
    <t>수채화</t>
    <phoneticPr fontId="1" type="noConversion"/>
  </si>
  <si>
    <t>서예</t>
    <phoneticPr fontId="1" type="noConversion"/>
  </si>
  <si>
    <t>드럼</t>
    <phoneticPr fontId="1" type="noConversion"/>
  </si>
  <si>
    <t>2023년</t>
    <phoneticPr fontId="1" type="noConversion"/>
  </si>
  <si>
    <t>2022년</t>
    <phoneticPr fontId="1" type="noConversion"/>
  </si>
  <si>
    <t>2021년</t>
  </si>
  <si>
    <t>과목명</t>
    <phoneticPr fontId="1" type="noConversion"/>
  </si>
  <si>
    <t>2024년</t>
    <phoneticPr fontId="1" type="noConversion"/>
  </si>
  <si>
    <t>합계</t>
    <phoneticPr fontId="1" type="noConversion"/>
  </si>
  <si>
    <t>[표1]</t>
    <phoneticPr fontId="1" type="noConversion"/>
  </si>
  <si>
    <t>맛김치</t>
  </si>
  <si>
    <t>맛김치</t>
    <phoneticPr fontId="1" type="noConversion"/>
  </si>
  <si>
    <t>포기김치</t>
  </si>
  <si>
    <t>포기김치</t>
    <phoneticPr fontId="1" type="noConversion"/>
  </si>
  <si>
    <t>총각김치</t>
  </si>
  <si>
    <t>총각김치</t>
    <phoneticPr fontId="1" type="noConversion"/>
  </si>
  <si>
    <t>제품</t>
    <phoneticPr fontId="1" type="noConversion"/>
  </si>
  <si>
    <t>1분기</t>
    <phoneticPr fontId="1" type="noConversion"/>
  </si>
  <si>
    <t>2분기</t>
    <phoneticPr fontId="1" type="noConversion"/>
  </si>
  <si>
    <t>3분기</t>
  </si>
  <si>
    <t>4분기</t>
  </si>
  <si>
    <t>백김치</t>
  </si>
  <si>
    <t>백김치</t>
    <phoneticPr fontId="1" type="noConversion"/>
  </si>
  <si>
    <t>열무김치</t>
  </si>
  <si>
    <t>열무김치</t>
    <phoneticPr fontId="1" type="noConversion"/>
  </si>
  <si>
    <t>[표2]</t>
    <phoneticPr fontId="1" type="noConversion"/>
  </si>
  <si>
    <t>롯데마트</t>
    <phoneticPr fontId="1" type="noConversion"/>
  </si>
  <si>
    <t>홈플러스</t>
    <phoneticPr fontId="1" type="noConversion"/>
  </si>
  <si>
    <t>이마트</t>
    <phoneticPr fontId="1" type="noConversion"/>
  </si>
  <si>
    <t>마트 판매량 평균</t>
    <phoneticPr fontId="1" type="noConversion"/>
  </si>
  <si>
    <t>사원번호</t>
    <phoneticPr fontId="1" type="noConversion"/>
  </si>
  <si>
    <t>이름</t>
    <phoneticPr fontId="1" type="noConversion"/>
  </si>
  <si>
    <t>부서</t>
    <phoneticPr fontId="1" type="noConversion"/>
  </si>
  <si>
    <t>근무년수</t>
    <phoneticPr fontId="1" type="noConversion"/>
  </si>
  <si>
    <t>인사평가</t>
    <phoneticPr fontId="1" type="noConversion"/>
  </si>
  <si>
    <t>출근시간</t>
    <phoneticPr fontId="1" type="noConversion"/>
  </si>
  <si>
    <t>소속</t>
    <phoneticPr fontId="1" type="noConversion"/>
  </si>
  <si>
    <t>근무지</t>
    <phoneticPr fontId="1" type="noConversion"/>
  </si>
  <si>
    <t>생산, 영업 인사평가 최저 점수 평균</t>
    <phoneticPr fontId="1" type="noConversion"/>
  </si>
  <si>
    <t>G-S890</t>
    <phoneticPr fontId="1" type="noConversion"/>
  </si>
  <si>
    <t>최예솔</t>
    <phoneticPr fontId="1" type="noConversion"/>
  </si>
  <si>
    <t>생산</t>
    <phoneticPr fontId="1" type="noConversion"/>
  </si>
  <si>
    <t>B-K247</t>
    <phoneticPr fontId="1" type="noConversion"/>
  </si>
  <si>
    <t>신동민</t>
    <phoneticPr fontId="1" type="noConversion"/>
  </si>
  <si>
    <t>영업</t>
    <phoneticPr fontId="1" type="noConversion"/>
  </si>
  <si>
    <t>G-I679</t>
    <phoneticPr fontId="1" type="noConversion"/>
  </si>
  <si>
    <t>김국자</t>
    <phoneticPr fontId="1" type="noConversion"/>
  </si>
  <si>
    <t>근무년수가 5년 이상 10년 미만 비율</t>
    <phoneticPr fontId="1" type="noConversion"/>
  </si>
  <si>
    <t>B-S247</t>
    <phoneticPr fontId="1" type="noConversion"/>
  </si>
  <si>
    <t>이옥희</t>
    <phoneticPr fontId="1" type="noConversion"/>
  </si>
  <si>
    <t>G-K375</t>
    <phoneticPr fontId="1" type="noConversion"/>
  </si>
  <si>
    <t>강성민</t>
    <phoneticPr fontId="1" type="noConversion"/>
  </si>
  <si>
    <t>관리</t>
    <phoneticPr fontId="1" type="noConversion"/>
  </si>
  <si>
    <t>G-S614</t>
    <phoneticPr fontId="1" type="noConversion"/>
  </si>
  <si>
    <t>우재호</t>
    <phoneticPr fontId="1" type="noConversion"/>
  </si>
  <si>
    <t>B-K978</t>
    <phoneticPr fontId="1" type="noConversion"/>
  </si>
  <si>
    <t>곽정우</t>
    <phoneticPr fontId="1" type="noConversion"/>
  </si>
  <si>
    <t>B-I140</t>
    <phoneticPr fontId="1" type="noConversion"/>
  </si>
  <si>
    <t>유전수</t>
    <phoneticPr fontId="1" type="noConversion"/>
  </si>
  <si>
    <t>G-S852</t>
    <phoneticPr fontId="1" type="noConversion"/>
  </si>
  <si>
    <t>박기찬</t>
    <phoneticPr fontId="1" type="noConversion"/>
  </si>
  <si>
    <t>&lt;지역코드표&gt;</t>
    <phoneticPr fontId="1" type="noConversion"/>
  </si>
  <si>
    <t>&lt;조건&gt;</t>
    <phoneticPr fontId="1" type="noConversion"/>
  </si>
  <si>
    <t>코드</t>
    <phoneticPr fontId="1" type="noConversion"/>
  </si>
  <si>
    <t>S</t>
    <phoneticPr fontId="1" type="noConversion"/>
  </si>
  <si>
    <t>K</t>
    <phoneticPr fontId="1" type="noConversion"/>
  </si>
  <si>
    <t>I</t>
    <phoneticPr fontId="1" type="noConversion"/>
  </si>
  <si>
    <t>G-S124</t>
    <phoneticPr fontId="1" type="noConversion"/>
  </si>
  <si>
    <t>오수민</t>
    <phoneticPr fontId="1" type="noConversion"/>
  </si>
  <si>
    <t>가장 빠른 출근 시간</t>
    <phoneticPr fontId="1" type="noConversion"/>
  </si>
  <si>
    <t>미래상사 최대</t>
  </si>
  <si>
    <t>영재상사 최대</t>
  </si>
  <si>
    <t>우리상사 최대</t>
  </si>
  <si>
    <t>전체 최대값</t>
  </si>
  <si>
    <t>미래상사 평균</t>
  </si>
  <si>
    <t>영재상사 평균</t>
  </si>
  <si>
    <t>우리상사 평균</t>
  </si>
  <si>
    <t>전체 평균</t>
  </si>
  <si>
    <t>마트명</t>
    <phoneticPr fontId="1" type="noConversion"/>
  </si>
  <si>
    <t>마트별 분기별 판매량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</si>
</sst>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"/>
    <numFmt numFmtId="177" formatCode="0&quot;명&quot;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70C0"/>
      <name val="맑은 고딕"/>
      <family val="2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4" fillId="0" borderId="0" xfId="0" applyFont="1">
      <alignment vertical="center"/>
    </xf>
    <xf numFmtId="41" fontId="0" fillId="0" borderId="0" xfId="0" applyNumberFormat="1">
      <alignment vertical="center"/>
    </xf>
    <xf numFmtId="41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177" fontId="0" fillId="0" borderId="9" xfId="0" applyNumberFormat="1" applyBorder="1">
      <alignment vertical="center"/>
    </xf>
    <xf numFmtId="0" fontId="0" fillId="0" borderId="10" xfId="0" applyBorder="1">
      <alignment vertical="center"/>
    </xf>
    <xf numFmtId="0" fontId="6" fillId="0" borderId="1" xfId="0" applyFon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5" fillId="0" borderId="2" xfId="3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4">
    <cellStyle name="백분율" xfId="2" builtinId="5"/>
    <cellStyle name="쉼표 [0]" xfId="1" builtinId="6"/>
    <cellStyle name="제목 1" xfId="3" builtinId="16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문화예술학교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4E-4848-88BA-53A0E2BA28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난타</c:v>
                </c:pt>
                <c:pt idx="1">
                  <c:v>서예</c:v>
                </c:pt>
                <c:pt idx="2">
                  <c:v>드럼</c:v>
                </c:pt>
                <c:pt idx="3">
                  <c:v>도예</c:v>
                </c:pt>
                <c:pt idx="4">
                  <c:v>수채화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140</c:v>
                </c:pt>
                <c:pt idx="1">
                  <c:v>115</c:v>
                </c:pt>
                <c:pt idx="2">
                  <c:v>190</c:v>
                </c:pt>
                <c:pt idx="3">
                  <c:v>120</c:v>
                </c:pt>
                <c:pt idx="4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24-4E45-82EC-F1751F6BA52E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4E-4848-88BA-53A0E2BA28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난타</c:v>
                </c:pt>
                <c:pt idx="1">
                  <c:v>서예</c:v>
                </c:pt>
                <c:pt idx="2">
                  <c:v>드럼</c:v>
                </c:pt>
                <c:pt idx="3">
                  <c:v>도예</c:v>
                </c:pt>
                <c:pt idx="4">
                  <c:v>수채화</c:v>
                </c:pt>
              </c:strCache>
            </c:strRef>
          </c:cat>
          <c:val>
            <c:numRef>
              <c:f>차트작업!$D$4:$D$8</c:f>
              <c:numCache>
                <c:formatCode>_(* #,##0_);_(* \(#,##0\);_(* "-"_);_(@_)</c:formatCode>
                <c:ptCount val="5"/>
                <c:pt idx="0">
                  <c:v>170</c:v>
                </c:pt>
                <c:pt idx="1">
                  <c:v>106</c:v>
                </c:pt>
                <c:pt idx="2">
                  <c:v>165</c:v>
                </c:pt>
                <c:pt idx="3">
                  <c:v>129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4E-4848-88BA-53A0E2BA28D3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D4E-4848-88BA-53A0E2BA28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차트작업!$A$4:$A$8</c:f>
              <c:strCache>
                <c:ptCount val="5"/>
                <c:pt idx="0">
                  <c:v>난타</c:v>
                </c:pt>
                <c:pt idx="1">
                  <c:v>서예</c:v>
                </c:pt>
                <c:pt idx="2">
                  <c:v>드럼</c:v>
                </c:pt>
                <c:pt idx="3">
                  <c:v>도예</c:v>
                </c:pt>
                <c:pt idx="4">
                  <c:v>수채화</c:v>
                </c:pt>
              </c:strCache>
            </c:strRef>
          </c:cat>
          <c:val>
            <c:numRef>
              <c:f>차트작업!$E$4:$E$8</c:f>
              <c:numCache>
                <c:formatCode>_(* #,##0_);_(* \(#,##0\);_(* "-"_);_(@_)</c:formatCode>
                <c:ptCount val="5"/>
                <c:pt idx="0">
                  <c:v>162</c:v>
                </c:pt>
                <c:pt idx="1">
                  <c:v>125</c:v>
                </c:pt>
                <c:pt idx="2">
                  <c:v>170</c:v>
                </c:pt>
                <c:pt idx="3">
                  <c:v>115</c:v>
                </c:pt>
                <c:pt idx="4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4E-4848-88BA-53A0E2BA2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9557887"/>
        <c:axId val="1289560383"/>
      </c:barChart>
      <c:catAx>
        <c:axId val="1289557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60383"/>
        <c:crosses val="autoZero"/>
        <c:auto val="1"/>
        <c:lblAlgn val="ctr"/>
        <c:lblOffset val="100"/>
        <c:noMultiLvlLbl val="0"/>
      </c:catAx>
      <c:valAx>
        <c:axId val="1289560383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89557887"/>
        <c:crosses val="autoZero"/>
        <c:crossBetween val="between"/>
        <c:majorUnit val="4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10</xdr:col>
      <xdr:colOff>0</xdr:colOff>
      <xdr:row>4</xdr:row>
      <xdr:rowOff>0</xdr:rowOff>
    </xdr:to>
    <xdr:sp macro="[0]!평균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746750" y="48260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0"/>
  <sheetViews>
    <sheetView tabSelected="1" workbookViewId="0"/>
  </sheetViews>
  <sheetFormatPr defaultRowHeight="16.5" x14ac:dyDescent="0.3"/>
  <cols>
    <col min="1" max="1" width="13.625" customWidth="1"/>
    <col min="2" max="2" width="13.125" bestFit="1" customWidth="1"/>
    <col min="3" max="3" width="14.375" bestFit="1" customWidth="1"/>
    <col min="4" max="4" width="9.125" customWidth="1"/>
  </cols>
  <sheetData>
    <row r="1" spans="1:7" x14ac:dyDescent="0.3">
      <c r="A1" t="s">
        <v>22</v>
      </c>
    </row>
    <row r="3" spans="1:7" x14ac:dyDescent="0.3">
      <c r="A3" t="s">
        <v>31</v>
      </c>
      <c r="B3" t="s">
        <v>9</v>
      </c>
      <c r="C3" t="s">
        <v>8</v>
      </c>
      <c r="D3" t="s">
        <v>6</v>
      </c>
      <c r="E3" t="s">
        <v>7</v>
      </c>
      <c r="F3" t="s">
        <v>23</v>
      </c>
      <c r="G3" t="s">
        <v>25</v>
      </c>
    </row>
    <row r="4" spans="1:7" x14ac:dyDescent="0.3">
      <c r="A4" t="s">
        <v>32</v>
      </c>
      <c r="B4" t="s">
        <v>0</v>
      </c>
      <c r="C4" t="s">
        <v>4</v>
      </c>
      <c r="D4" t="s">
        <v>5</v>
      </c>
      <c r="E4">
        <v>66000</v>
      </c>
      <c r="F4" t="s">
        <v>26</v>
      </c>
      <c r="G4">
        <v>9.8000000000000007</v>
      </c>
    </row>
    <row r="5" spans="1:7" x14ac:dyDescent="0.3">
      <c r="A5" t="s">
        <v>33</v>
      </c>
      <c r="B5" t="s">
        <v>1</v>
      </c>
      <c r="C5" t="s">
        <v>11</v>
      </c>
      <c r="D5" t="s">
        <v>10</v>
      </c>
      <c r="E5">
        <v>18000</v>
      </c>
      <c r="F5" t="s">
        <v>27</v>
      </c>
      <c r="G5">
        <v>10</v>
      </c>
    </row>
    <row r="6" spans="1:7" x14ac:dyDescent="0.3">
      <c r="A6" t="s">
        <v>34</v>
      </c>
      <c r="B6" t="s">
        <v>2</v>
      </c>
      <c r="C6" t="s">
        <v>3</v>
      </c>
      <c r="D6" t="s">
        <v>21</v>
      </c>
      <c r="E6">
        <v>19900</v>
      </c>
      <c r="F6" t="s">
        <v>24</v>
      </c>
      <c r="G6">
        <v>9.9</v>
      </c>
    </row>
    <row r="7" spans="1:7" x14ac:dyDescent="0.3">
      <c r="A7" t="s">
        <v>35</v>
      </c>
      <c r="B7" t="s">
        <v>12</v>
      </c>
      <c r="C7" t="s">
        <v>13</v>
      </c>
      <c r="D7" t="s">
        <v>10</v>
      </c>
      <c r="E7">
        <v>66000</v>
      </c>
      <c r="F7" t="s">
        <v>28</v>
      </c>
      <c r="G7">
        <v>9.9</v>
      </c>
    </row>
    <row r="8" spans="1:7" x14ac:dyDescent="0.3">
      <c r="A8" t="s">
        <v>36</v>
      </c>
      <c r="B8" t="s">
        <v>14</v>
      </c>
      <c r="C8" t="s">
        <v>15</v>
      </c>
      <c r="D8" t="s">
        <v>16</v>
      </c>
      <c r="E8">
        <v>60000</v>
      </c>
      <c r="F8" t="s">
        <v>29</v>
      </c>
      <c r="G8">
        <v>9.6999999999999993</v>
      </c>
    </row>
    <row r="9" spans="1:7" x14ac:dyDescent="0.3">
      <c r="A9" t="s">
        <v>37</v>
      </c>
      <c r="B9" t="s">
        <v>18</v>
      </c>
      <c r="C9" t="s">
        <v>4</v>
      </c>
      <c r="D9" t="s">
        <v>17</v>
      </c>
      <c r="E9">
        <v>33000</v>
      </c>
      <c r="F9" t="s">
        <v>26</v>
      </c>
      <c r="G9">
        <v>9.3000000000000007</v>
      </c>
    </row>
    <row r="10" spans="1:7" x14ac:dyDescent="0.3">
      <c r="A10" t="s">
        <v>38</v>
      </c>
      <c r="B10" t="s">
        <v>19</v>
      </c>
      <c r="C10" t="s">
        <v>20</v>
      </c>
      <c r="D10" t="s">
        <v>10</v>
      </c>
      <c r="E10">
        <v>30000</v>
      </c>
      <c r="F10" t="s">
        <v>30</v>
      </c>
      <c r="G10">
        <v>9.1999999999999993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21D8C-0BB4-49B5-ACAD-43339A0F5B3A}">
  <dimension ref="A1:G11"/>
  <sheetViews>
    <sheetView workbookViewId="0">
      <selection sqref="A1:G1"/>
    </sheetView>
  </sheetViews>
  <sheetFormatPr defaultRowHeight="16.5" x14ac:dyDescent="0.3"/>
  <cols>
    <col min="2" max="2" width="10.125" customWidth="1"/>
    <col min="3" max="3" width="26.375" bestFit="1" customWidth="1"/>
    <col min="4" max="4" width="14.375" bestFit="1" customWidth="1"/>
    <col min="5" max="5" width="10.625" customWidth="1"/>
    <col min="6" max="6" width="11.375" bestFit="1" customWidth="1"/>
    <col min="7" max="7" width="12.75" bestFit="1" customWidth="1"/>
  </cols>
  <sheetData>
    <row r="1" spans="1:7" ht="27" customHeight="1" thickBot="1" x14ac:dyDescent="0.35">
      <c r="A1" s="28" t="s">
        <v>81</v>
      </c>
      <c r="B1" s="28"/>
      <c r="C1" s="28"/>
      <c r="D1" s="28"/>
      <c r="E1" s="28"/>
      <c r="F1" s="28"/>
      <c r="G1" s="28"/>
    </row>
    <row r="2" spans="1:7" ht="18" thickTop="1" thickBot="1" x14ac:dyDescent="0.35"/>
    <row r="3" spans="1:7" x14ac:dyDescent="0.3">
      <c r="A3" s="15" t="s">
        <v>40</v>
      </c>
      <c r="B3" s="16" t="s">
        <v>82</v>
      </c>
      <c r="C3" s="16" t="s">
        <v>83</v>
      </c>
      <c r="D3" s="16" t="s">
        <v>84</v>
      </c>
      <c r="E3" s="16" t="s">
        <v>123</v>
      </c>
      <c r="F3" s="16" t="s">
        <v>85</v>
      </c>
      <c r="G3" s="17" t="s">
        <v>86</v>
      </c>
    </row>
    <row r="4" spans="1:7" x14ac:dyDescent="0.3">
      <c r="A4" s="29" t="s">
        <v>62</v>
      </c>
      <c r="B4" s="5" t="s">
        <v>87</v>
      </c>
      <c r="C4" s="5" t="s">
        <v>88</v>
      </c>
      <c r="D4" s="5" t="s">
        <v>89</v>
      </c>
      <c r="E4" s="14">
        <v>30</v>
      </c>
      <c r="F4" s="5" t="s">
        <v>90</v>
      </c>
      <c r="G4" s="18" t="s">
        <v>91</v>
      </c>
    </row>
    <row r="5" spans="1:7" x14ac:dyDescent="0.3">
      <c r="A5" s="29"/>
      <c r="B5" s="5" t="s">
        <v>87</v>
      </c>
      <c r="C5" s="5" t="s">
        <v>92</v>
      </c>
      <c r="D5" s="5" t="s">
        <v>89</v>
      </c>
      <c r="E5" s="14">
        <v>45</v>
      </c>
      <c r="F5" s="5" t="s">
        <v>93</v>
      </c>
      <c r="G5" s="18" t="s">
        <v>94</v>
      </c>
    </row>
    <row r="6" spans="1:7" x14ac:dyDescent="0.3">
      <c r="A6" s="29"/>
      <c r="B6" s="5" t="s">
        <v>95</v>
      </c>
      <c r="C6" s="5" t="s">
        <v>96</v>
      </c>
      <c r="D6" s="5" t="s">
        <v>97</v>
      </c>
      <c r="E6" s="14">
        <v>20</v>
      </c>
      <c r="F6" s="5" t="s">
        <v>98</v>
      </c>
      <c r="G6" s="18" t="s">
        <v>99</v>
      </c>
    </row>
    <row r="7" spans="1:7" x14ac:dyDescent="0.3">
      <c r="A7" s="29" t="s">
        <v>100</v>
      </c>
      <c r="B7" s="5" t="s">
        <v>101</v>
      </c>
      <c r="C7" s="5" t="s">
        <v>102</v>
      </c>
      <c r="D7" s="5" t="s">
        <v>103</v>
      </c>
      <c r="E7" s="14">
        <v>50</v>
      </c>
      <c r="F7" s="5" t="s">
        <v>104</v>
      </c>
      <c r="G7" s="18" t="s">
        <v>105</v>
      </c>
    </row>
    <row r="8" spans="1:7" x14ac:dyDescent="0.3">
      <c r="A8" s="29"/>
      <c r="B8" s="5" t="s">
        <v>101</v>
      </c>
      <c r="C8" s="5" t="s">
        <v>106</v>
      </c>
      <c r="D8" s="5" t="s">
        <v>107</v>
      </c>
      <c r="E8" s="14">
        <v>31</v>
      </c>
      <c r="F8" s="5" t="s">
        <v>108</v>
      </c>
      <c r="G8" s="18" t="s">
        <v>109</v>
      </c>
    </row>
    <row r="9" spans="1:7" x14ac:dyDescent="0.3">
      <c r="A9" s="29" t="s">
        <v>62</v>
      </c>
      <c r="B9" s="5" t="s">
        <v>110</v>
      </c>
      <c r="C9" s="5" t="s">
        <v>111</v>
      </c>
      <c r="D9" s="5" t="s">
        <v>112</v>
      </c>
      <c r="E9" s="14">
        <v>18</v>
      </c>
      <c r="F9" s="5" t="s">
        <v>113</v>
      </c>
      <c r="G9" s="18" t="s">
        <v>114</v>
      </c>
    </row>
    <row r="10" spans="1:7" x14ac:dyDescent="0.3">
      <c r="A10" s="29"/>
      <c r="B10" s="5" t="s">
        <v>110</v>
      </c>
      <c r="C10" s="5" t="s">
        <v>115</v>
      </c>
      <c r="D10" s="5" t="s">
        <v>116</v>
      </c>
      <c r="E10" s="14">
        <v>27</v>
      </c>
      <c r="F10" s="5" t="s">
        <v>117</v>
      </c>
      <c r="G10" s="18" t="s">
        <v>118</v>
      </c>
    </row>
    <row r="11" spans="1:7" ht="17.25" thickBot="1" x14ac:dyDescent="0.35">
      <c r="A11" s="30"/>
      <c r="B11" s="19" t="s">
        <v>119</v>
      </c>
      <c r="C11" s="19" t="s">
        <v>120</v>
      </c>
      <c r="D11" s="19" t="s">
        <v>121</v>
      </c>
      <c r="E11" s="20">
        <v>21</v>
      </c>
      <c r="F11" s="19" t="s">
        <v>122</v>
      </c>
      <c r="G11" s="21" t="s">
        <v>118</v>
      </c>
    </row>
  </sheetData>
  <mergeCells count="4">
    <mergeCell ref="A1:G1"/>
    <mergeCell ref="A9:A11"/>
    <mergeCell ref="A7:A8"/>
    <mergeCell ref="A4:A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4"/>
  <sheetViews>
    <sheetView workbookViewId="0"/>
  </sheetViews>
  <sheetFormatPr defaultRowHeight="16.5" x14ac:dyDescent="0.3"/>
  <cols>
    <col min="3" max="3" width="13.625" bestFit="1" customWidth="1"/>
    <col min="5" max="5" width="12.375" bestFit="1" customWidth="1"/>
    <col min="6" max="7" width="13.625" bestFit="1" customWidth="1"/>
  </cols>
  <sheetData>
    <row r="1" spans="1:7" x14ac:dyDescent="0.3">
      <c r="A1" t="s">
        <v>39</v>
      </c>
    </row>
    <row r="3" spans="1:7" x14ac:dyDescent="0.3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46</v>
      </c>
    </row>
    <row r="4" spans="1:7" x14ac:dyDescent="0.3">
      <c r="A4" s="1" t="s">
        <v>47</v>
      </c>
      <c r="B4" s="1" t="s">
        <v>69</v>
      </c>
      <c r="C4" s="2">
        <v>45000000</v>
      </c>
      <c r="D4" s="1" t="s">
        <v>48</v>
      </c>
      <c r="E4" s="2">
        <v>3600000</v>
      </c>
      <c r="F4" s="2">
        <v>30000000</v>
      </c>
      <c r="G4" s="2">
        <v>11400000</v>
      </c>
    </row>
    <row r="5" spans="1:7" x14ac:dyDescent="0.3">
      <c r="A5" s="1" t="s">
        <v>49</v>
      </c>
      <c r="B5" s="1" t="s">
        <v>50</v>
      </c>
      <c r="C5" s="2">
        <v>34000000</v>
      </c>
      <c r="D5" s="1" t="s">
        <v>48</v>
      </c>
      <c r="E5" s="2">
        <v>2700000</v>
      </c>
      <c r="F5" s="2">
        <v>30000000</v>
      </c>
      <c r="G5" s="2">
        <v>1300000</v>
      </c>
    </row>
    <row r="6" spans="1:7" x14ac:dyDescent="0.3">
      <c r="A6" s="1" t="s">
        <v>51</v>
      </c>
      <c r="B6" s="1" t="s">
        <v>52</v>
      </c>
      <c r="C6" s="2">
        <v>49800000</v>
      </c>
      <c r="D6" s="1" t="s">
        <v>48</v>
      </c>
      <c r="E6" s="2">
        <v>3900000</v>
      </c>
      <c r="F6" s="2">
        <v>45000000</v>
      </c>
      <c r="G6" s="2">
        <v>900000</v>
      </c>
    </row>
    <row r="7" spans="1:7" x14ac:dyDescent="0.3">
      <c r="A7" s="1" t="s">
        <v>53</v>
      </c>
      <c r="B7" s="1" t="s">
        <v>54</v>
      </c>
      <c r="C7" s="2">
        <v>28600000</v>
      </c>
      <c r="D7" s="1" t="s">
        <v>48</v>
      </c>
      <c r="E7" s="2">
        <v>2200000</v>
      </c>
      <c r="F7" s="2">
        <v>25000000</v>
      </c>
      <c r="G7" s="2">
        <v>1400000</v>
      </c>
    </row>
    <row r="8" spans="1:7" x14ac:dyDescent="0.3">
      <c r="A8" s="1" t="s">
        <v>55</v>
      </c>
      <c r="B8" s="1" t="s">
        <v>56</v>
      </c>
      <c r="C8" s="2">
        <v>36800000</v>
      </c>
      <c r="D8" s="1" t="s">
        <v>48</v>
      </c>
      <c r="E8" s="2">
        <v>2900000</v>
      </c>
      <c r="F8" s="2">
        <v>30000000</v>
      </c>
      <c r="G8" s="2">
        <v>3900000</v>
      </c>
    </row>
    <row r="9" spans="1:7" x14ac:dyDescent="0.3">
      <c r="A9" s="1" t="s">
        <v>57</v>
      </c>
      <c r="B9" s="1" t="s">
        <v>58</v>
      </c>
      <c r="C9" s="2">
        <v>54500000</v>
      </c>
      <c r="D9" s="1" t="s">
        <v>48</v>
      </c>
      <c r="E9" s="2">
        <v>4300000</v>
      </c>
      <c r="F9" s="2">
        <v>50000000</v>
      </c>
      <c r="G9" s="2">
        <v>200000</v>
      </c>
    </row>
    <row r="10" spans="1:7" x14ac:dyDescent="0.3">
      <c r="A10" s="1" t="s">
        <v>59</v>
      </c>
      <c r="B10" s="1" t="s">
        <v>60</v>
      </c>
      <c r="C10" s="2">
        <v>28000000</v>
      </c>
      <c r="D10" s="1" t="s">
        <v>48</v>
      </c>
      <c r="E10" s="2">
        <v>2200000</v>
      </c>
      <c r="F10" s="2">
        <v>20000000</v>
      </c>
      <c r="G10" s="2">
        <v>5800000</v>
      </c>
    </row>
    <row r="11" spans="1:7" x14ac:dyDescent="0.3">
      <c r="A11" s="1" t="s">
        <v>61</v>
      </c>
      <c r="B11" s="1" t="s">
        <v>70</v>
      </c>
      <c r="C11" s="2">
        <v>38500000</v>
      </c>
      <c r="D11" s="1" t="s">
        <v>48</v>
      </c>
      <c r="E11" s="2">
        <v>3000000</v>
      </c>
      <c r="F11" s="2">
        <v>33000000</v>
      </c>
      <c r="G11" s="2">
        <v>2500000</v>
      </c>
    </row>
    <row r="12" spans="1:7" x14ac:dyDescent="0.3">
      <c r="A12" s="1" t="s">
        <v>62</v>
      </c>
      <c r="B12" s="1" t="s">
        <v>63</v>
      </c>
      <c r="C12" s="2">
        <v>50000000</v>
      </c>
      <c r="D12" s="1" t="s">
        <v>64</v>
      </c>
      <c r="E12" s="2">
        <v>1500000</v>
      </c>
      <c r="F12" s="2">
        <v>45000000</v>
      </c>
      <c r="G12" s="2">
        <v>3500000</v>
      </c>
    </row>
    <row r="13" spans="1:7" x14ac:dyDescent="0.3">
      <c r="A13" s="1" t="s">
        <v>65</v>
      </c>
      <c r="B13" s="1" t="s">
        <v>66</v>
      </c>
      <c r="C13" s="2">
        <v>52000000</v>
      </c>
      <c r="D13" s="1" t="s">
        <v>64</v>
      </c>
      <c r="E13" s="2">
        <v>1500000</v>
      </c>
      <c r="F13" s="2">
        <v>40000000</v>
      </c>
      <c r="G13" s="2">
        <v>10500000</v>
      </c>
    </row>
    <row r="14" spans="1:7" x14ac:dyDescent="0.3">
      <c r="A14" s="1" t="s">
        <v>67</v>
      </c>
      <c r="B14" s="1" t="s">
        <v>68</v>
      </c>
      <c r="C14" s="2">
        <v>46800000</v>
      </c>
      <c r="D14" s="1" t="s">
        <v>64</v>
      </c>
      <c r="E14" s="2">
        <v>1400000</v>
      </c>
      <c r="F14" s="2">
        <v>42000000</v>
      </c>
      <c r="G14" s="2">
        <v>3400000</v>
      </c>
    </row>
  </sheetData>
  <phoneticPr fontId="1" type="noConversion"/>
  <conditionalFormatting sqref="A4:G14">
    <cfRule type="expression" dxfId="0" priority="1">
      <formula>LEFT($B4,1)="이"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16"/>
  <sheetViews>
    <sheetView workbookViewId="0"/>
  </sheetViews>
  <sheetFormatPr defaultRowHeight="16.5" x14ac:dyDescent="0.3"/>
  <cols>
    <col min="9" max="9" width="2.625" customWidth="1"/>
    <col min="10" max="12" width="10.625" customWidth="1"/>
  </cols>
  <sheetData>
    <row r="1" spans="1:12" x14ac:dyDescent="0.3">
      <c r="A1" t="s">
        <v>146</v>
      </c>
    </row>
    <row r="2" spans="1:12" x14ac:dyDescent="0.3">
      <c r="A2" s="1" t="s">
        <v>167</v>
      </c>
      <c r="B2" s="1" t="s">
        <v>168</v>
      </c>
      <c r="C2" s="1" t="s">
        <v>169</v>
      </c>
      <c r="D2" s="1" t="s">
        <v>170</v>
      </c>
      <c r="E2" s="1" t="s">
        <v>171</v>
      </c>
      <c r="F2" s="1" t="s">
        <v>172</v>
      </c>
      <c r="G2" s="11" t="s">
        <v>173</v>
      </c>
      <c r="H2" s="11" t="s">
        <v>174</v>
      </c>
      <c r="J2" s="32" t="s">
        <v>175</v>
      </c>
      <c r="K2" s="32"/>
      <c r="L2" s="32"/>
    </row>
    <row r="3" spans="1:12" x14ac:dyDescent="0.3">
      <c r="A3" s="1" t="s">
        <v>176</v>
      </c>
      <c r="B3" s="1" t="s">
        <v>177</v>
      </c>
      <c r="C3" s="1" t="s">
        <v>178</v>
      </c>
      <c r="D3" s="1">
        <v>13</v>
      </c>
      <c r="E3" s="1">
        <v>87</v>
      </c>
      <c r="F3" s="12">
        <v>0.35439814814814818</v>
      </c>
      <c r="G3" s="1" t="str">
        <f>IF(LEFT(A3,1)="B","본사","지사")</f>
        <v>지사</v>
      </c>
      <c r="H3" s="4" t="str">
        <f t="shared" ref="H3:H12" si="0">HLOOKUP(MID(A3,3,1),$B$15:$D$16,2,0)</f>
        <v>서울</v>
      </c>
      <c r="J3" s="31">
        <f>AVERAGE(DMIN(A2:E12,E2,F15:F16),DMIN(A2:E12,E2,G15:G16))</f>
        <v>78.5</v>
      </c>
      <c r="K3" s="31"/>
      <c r="L3" s="31"/>
    </row>
    <row r="4" spans="1:12" x14ac:dyDescent="0.3">
      <c r="A4" s="1" t="s">
        <v>179</v>
      </c>
      <c r="B4" s="1" t="s">
        <v>180</v>
      </c>
      <c r="C4" s="1" t="s">
        <v>181</v>
      </c>
      <c r="D4" s="1">
        <v>5</v>
      </c>
      <c r="E4" s="1">
        <v>94</v>
      </c>
      <c r="F4" s="12">
        <v>0.36498842592592595</v>
      </c>
      <c r="G4" s="1" t="str">
        <f t="shared" ref="G4:G12" si="1">IF(LEFT(A4,1)="B","본사","지사")</f>
        <v>본사</v>
      </c>
      <c r="H4" s="4" t="str">
        <f t="shared" si="0"/>
        <v>경기</v>
      </c>
    </row>
    <row r="5" spans="1:12" x14ac:dyDescent="0.3">
      <c r="A5" s="1" t="s">
        <v>182</v>
      </c>
      <c r="B5" s="1" t="s">
        <v>183</v>
      </c>
      <c r="C5" s="1" t="s">
        <v>178</v>
      </c>
      <c r="D5" s="1">
        <v>3</v>
      </c>
      <c r="E5" s="1">
        <v>78</v>
      </c>
      <c r="F5" s="12">
        <v>0.33288194444444447</v>
      </c>
      <c r="G5" s="1" t="str">
        <f t="shared" si="1"/>
        <v>지사</v>
      </c>
      <c r="H5" s="4" t="str">
        <f t="shared" si="0"/>
        <v>인천</v>
      </c>
      <c r="J5" s="32" t="s">
        <v>184</v>
      </c>
      <c r="K5" s="32"/>
      <c r="L5" s="32"/>
    </row>
    <row r="6" spans="1:12" x14ac:dyDescent="0.3">
      <c r="A6" s="1" t="s">
        <v>185</v>
      </c>
      <c r="B6" s="1" t="s">
        <v>186</v>
      </c>
      <c r="C6" s="1" t="s">
        <v>181</v>
      </c>
      <c r="D6" s="1">
        <v>8</v>
      </c>
      <c r="E6" s="1">
        <v>84</v>
      </c>
      <c r="F6" s="12">
        <v>0.34923611111111108</v>
      </c>
      <c r="G6" s="1" t="str">
        <f t="shared" si="1"/>
        <v>본사</v>
      </c>
      <c r="H6" s="4" t="str">
        <f t="shared" si="0"/>
        <v>서울</v>
      </c>
      <c r="J6" s="33">
        <f>COUNTIFS(D3:D12,"&gt;=5",D3:D12,"&lt;10")/COUNT(D3:D12)</f>
        <v>0.3</v>
      </c>
      <c r="K6" s="33"/>
      <c r="L6" s="33"/>
    </row>
    <row r="7" spans="1:12" x14ac:dyDescent="0.3">
      <c r="A7" s="1" t="s">
        <v>187</v>
      </c>
      <c r="B7" s="1" t="s">
        <v>188</v>
      </c>
      <c r="C7" s="1" t="s">
        <v>189</v>
      </c>
      <c r="D7" s="1">
        <v>12</v>
      </c>
      <c r="E7" s="1">
        <v>78</v>
      </c>
      <c r="F7" s="12">
        <v>0.32332175925925927</v>
      </c>
      <c r="G7" s="1" t="str">
        <f t="shared" si="1"/>
        <v>지사</v>
      </c>
      <c r="H7" s="4" t="str">
        <f t="shared" si="0"/>
        <v>경기</v>
      </c>
    </row>
    <row r="8" spans="1:12" x14ac:dyDescent="0.3">
      <c r="A8" s="1" t="s">
        <v>190</v>
      </c>
      <c r="B8" s="1" t="s">
        <v>191</v>
      </c>
      <c r="C8" s="1" t="s">
        <v>189</v>
      </c>
      <c r="D8" s="1">
        <v>16</v>
      </c>
      <c r="E8" s="1">
        <v>91</v>
      </c>
      <c r="F8" s="12">
        <v>0.3374537037037037</v>
      </c>
      <c r="G8" s="1" t="str">
        <f t="shared" si="1"/>
        <v>지사</v>
      </c>
      <c r="H8" s="4" t="str">
        <f t="shared" si="0"/>
        <v>서울</v>
      </c>
      <c r="J8" s="32" t="s">
        <v>206</v>
      </c>
      <c r="K8" s="32"/>
      <c r="L8" s="32"/>
    </row>
    <row r="9" spans="1:12" x14ac:dyDescent="0.3">
      <c r="A9" s="1" t="s">
        <v>192</v>
      </c>
      <c r="B9" s="1" t="s">
        <v>193</v>
      </c>
      <c r="C9" s="1" t="s">
        <v>178</v>
      </c>
      <c r="D9" s="1">
        <v>7</v>
      </c>
      <c r="E9" s="1">
        <v>82</v>
      </c>
      <c r="F9" s="12">
        <v>0.34210648148148143</v>
      </c>
      <c r="G9" s="1" t="str">
        <f t="shared" si="1"/>
        <v>본사</v>
      </c>
      <c r="H9" s="4" t="str">
        <f t="shared" si="0"/>
        <v>경기</v>
      </c>
      <c r="J9" s="31" t="str">
        <f>HOUR(SMALL(F3:F12,1))&amp;"시"&amp;MINUTE(SMALL(F3:F12,1))&amp;"분"&amp;SECOND(SMALL(F3:F12,1))&amp;"초"</f>
        <v>7시45분35초</v>
      </c>
      <c r="K9" s="31"/>
      <c r="L9" s="31"/>
    </row>
    <row r="10" spans="1:12" x14ac:dyDescent="0.3">
      <c r="A10" s="1" t="s">
        <v>194</v>
      </c>
      <c r="B10" s="1" t="s">
        <v>195</v>
      </c>
      <c r="C10" s="1" t="s">
        <v>181</v>
      </c>
      <c r="D10" s="1">
        <v>20</v>
      </c>
      <c r="E10" s="1">
        <v>79</v>
      </c>
      <c r="F10" s="12">
        <v>0.37164351851851851</v>
      </c>
      <c r="G10" s="1" t="str">
        <f t="shared" si="1"/>
        <v>본사</v>
      </c>
      <c r="H10" s="4" t="str">
        <f t="shared" si="0"/>
        <v>인천</v>
      </c>
    </row>
    <row r="11" spans="1:12" x14ac:dyDescent="0.3">
      <c r="A11" s="1" t="s">
        <v>204</v>
      </c>
      <c r="B11" s="1" t="s">
        <v>205</v>
      </c>
      <c r="C11" s="1" t="s">
        <v>178</v>
      </c>
      <c r="D11" s="1">
        <v>18</v>
      </c>
      <c r="E11" s="1">
        <v>82</v>
      </c>
      <c r="F11" s="12">
        <v>0.33709490740740744</v>
      </c>
      <c r="G11" s="1" t="str">
        <f t="shared" si="1"/>
        <v>지사</v>
      </c>
      <c r="H11" s="4" t="str">
        <f t="shared" si="0"/>
        <v>서울</v>
      </c>
    </row>
    <row r="12" spans="1:12" x14ac:dyDescent="0.3">
      <c r="A12" s="1" t="s">
        <v>196</v>
      </c>
      <c r="B12" s="1" t="s">
        <v>197</v>
      </c>
      <c r="C12" s="1" t="s">
        <v>178</v>
      </c>
      <c r="D12" s="1">
        <v>2</v>
      </c>
      <c r="E12" s="1">
        <v>95</v>
      </c>
      <c r="F12" s="12">
        <v>0.32743055555555556</v>
      </c>
      <c r="G12" s="1" t="str">
        <f t="shared" si="1"/>
        <v>지사</v>
      </c>
      <c r="H12" s="4" t="str">
        <f t="shared" si="0"/>
        <v>서울</v>
      </c>
    </row>
    <row r="14" spans="1:12" x14ac:dyDescent="0.3">
      <c r="A14" t="s">
        <v>198</v>
      </c>
      <c r="F14" t="s">
        <v>199</v>
      </c>
    </row>
    <row r="15" spans="1:12" x14ac:dyDescent="0.3">
      <c r="A15" s="1" t="s">
        <v>200</v>
      </c>
      <c r="B15" s="1" t="s">
        <v>201</v>
      </c>
      <c r="C15" s="1" t="s">
        <v>202</v>
      </c>
      <c r="D15" s="1" t="s">
        <v>203</v>
      </c>
      <c r="F15" s="1" t="s">
        <v>169</v>
      </c>
      <c r="G15" s="1" t="s">
        <v>169</v>
      </c>
    </row>
    <row r="16" spans="1:12" x14ac:dyDescent="0.3">
      <c r="A16" s="1" t="s">
        <v>40</v>
      </c>
      <c r="B16" s="1" t="s">
        <v>62</v>
      </c>
      <c r="C16" s="1" t="s">
        <v>100</v>
      </c>
      <c r="D16" s="1" t="s">
        <v>47</v>
      </c>
      <c r="F16" s="1" t="s">
        <v>178</v>
      </c>
      <c r="G16" s="1" t="s">
        <v>181</v>
      </c>
    </row>
  </sheetData>
  <mergeCells count="6">
    <mergeCell ref="J9:L9"/>
    <mergeCell ref="J2:L2"/>
    <mergeCell ref="J3:L3"/>
    <mergeCell ref="J5:L5"/>
    <mergeCell ref="J6:L6"/>
    <mergeCell ref="J8:L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27"/>
  <sheetViews>
    <sheetView workbookViewId="0">
      <selection sqref="A1:E1"/>
    </sheetView>
  </sheetViews>
  <sheetFormatPr defaultRowHeight="16.5" outlineLevelRow="3" x14ac:dyDescent="0.3"/>
  <cols>
    <col min="1" max="1" width="9.5" bestFit="1" customWidth="1"/>
    <col min="2" max="2" width="13.25" bestFit="1" customWidth="1"/>
    <col min="3" max="3" width="11.625" bestFit="1" customWidth="1"/>
    <col min="4" max="4" width="10.625" bestFit="1" customWidth="1"/>
    <col min="5" max="5" width="11.625" bestFit="1" customWidth="1"/>
  </cols>
  <sheetData>
    <row r="1" spans="1:5" ht="20.25" x14ac:dyDescent="0.3">
      <c r="A1" s="34" t="s">
        <v>71</v>
      </c>
      <c r="B1" s="34"/>
      <c r="C1" s="34"/>
      <c r="D1" s="34"/>
      <c r="E1" s="34"/>
    </row>
    <row r="3" spans="1:5" x14ac:dyDescent="0.3">
      <c r="A3" s="1" t="s">
        <v>72</v>
      </c>
      <c r="B3" s="1" t="s">
        <v>73</v>
      </c>
      <c r="C3" s="1" t="s">
        <v>74</v>
      </c>
      <c r="D3" s="1" t="s">
        <v>44</v>
      </c>
      <c r="E3" s="1" t="s">
        <v>75</v>
      </c>
    </row>
    <row r="4" spans="1:5" outlineLevel="3" x14ac:dyDescent="0.3">
      <c r="A4" s="3">
        <v>45901</v>
      </c>
      <c r="B4" s="1" t="s">
        <v>76</v>
      </c>
      <c r="C4" s="4">
        <v>11250000</v>
      </c>
      <c r="D4" s="4">
        <v>1350000</v>
      </c>
      <c r="E4" s="4">
        <v>9900000</v>
      </c>
    </row>
    <row r="5" spans="1:5" outlineLevel="3" x14ac:dyDescent="0.3">
      <c r="A5" s="3">
        <v>45908</v>
      </c>
      <c r="B5" s="1" t="s">
        <v>76</v>
      </c>
      <c r="C5" s="4">
        <v>12400000</v>
      </c>
      <c r="D5" s="4">
        <v>1480000</v>
      </c>
      <c r="E5" s="4">
        <v>10920000</v>
      </c>
    </row>
    <row r="6" spans="1:5" outlineLevel="3" x14ac:dyDescent="0.3">
      <c r="A6" s="3">
        <v>45911</v>
      </c>
      <c r="B6" s="1" t="s">
        <v>76</v>
      </c>
      <c r="C6" s="4">
        <v>13950000</v>
      </c>
      <c r="D6" s="4">
        <v>1670000</v>
      </c>
      <c r="E6" s="4">
        <v>12280000</v>
      </c>
    </row>
    <row r="7" spans="1:5" outlineLevel="3" x14ac:dyDescent="0.3">
      <c r="A7" s="3">
        <v>45914</v>
      </c>
      <c r="B7" s="1" t="s">
        <v>76</v>
      </c>
      <c r="C7" s="4">
        <v>14420000</v>
      </c>
      <c r="D7" s="4">
        <v>1730000</v>
      </c>
      <c r="E7" s="4">
        <v>12690000</v>
      </c>
    </row>
    <row r="8" spans="1:5" outlineLevel="3" x14ac:dyDescent="0.3">
      <c r="A8" s="3">
        <v>45922</v>
      </c>
      <c r="B8" s="1" t="s">
        <v>76</v>
      </c>
      <c r="C8" s="4">
        <v>14780000</v>
      </c>
      <c r="D8" s="4">
        <v>1770000</v>
      </c>
      <c r="E8" s="4">
        <v>13010000</v>
      </c>
    </row>
    <row r="9" spans="1:5" outlineLevel="3" x14ac:dyDescent="0.3">
      <c r="A9" s="3">
        <v>44462</v>
      </c>
      <c r="B9" s="1" t="s">
        <v>79</v>
      </c>
      <c r="C9" s="4">
        <v>13580000</v>
      </c>
      <c r="D9" s="4">
        <v>1100000</v>
      </c>
      <c r="E9" s="4">
        <v>12480000</v>
      </c>
    </row>
    <row r="10" spans="1:5" outlineLevel="2" x14ac:dyDescent="0.3">
      <c r="A10" s="3"/>
      <c r="B10" s="22" t="s">
        <v>211</v>
      </c>
      <c r="C10" s="4">
        <f>SUBTOTAL(1,C4:C9)</f>
        <v>13396666.666666666</v>
      </c>
      <c r="D10" s="4">
        <f>SUBTOTAL(1,D4:D9)</f>
        <v>1516666.6666666667</v>
      </c>
      <c r="E10" s="4"/>
    </row>
    <row r="11" spans="1:5" outlineLevel="1" x14ac:dyDescent="0.3">
      <c r="A11" s="3"/>
      <c r="B11" s="22" t="s">
        <v>207</v>
      </c>
      <c r="C11" s="4"/>
      <c r="D11" s="4"/>
      <c r="E11" s="4">
        <f>SUBTOTAL(4,E4:E9)</f>
        <v>13010000</v>
      </c>
    </row>
    <row r="12" spans="1:5" outlineLevel="3" x14ac:dyDescent="0.3">
      <c r="A12" s="3">
        <v>45903</v>
      </c>
      <c r="B12" s="1" t="s">
        <v>78</v>
      </c>
      <c r="C12" s="4">
        <v>12990000</v>
      </c>
      <c r="D12" s="4">
        <v>1550000</v>
      </c>
      <c r="E12" s="4">
        <v>11440000</v>
      </c>
    </row>
    <row r="13" spans="1:5" outlineLevel="3" x14ac:dyDescent="0.3">
      <c r="A13" s="3">
        <v>45907</v>
      </c>
      <c r="B13" s="1" t="s">
        <v>78</v>
      </c>
      <c r="C13" s="4">
        <v>15000000</v>
      </c>
      <c r="D13" s="4">
        <v>1800000</v>
      </c>
      <c r="E13" s="4">
        <v>13200000</v>
      </c>
    </row>
    <row r="14" spans="1:5" outlineLevel="3" x14ac:dyDescent="0.3">
      <c r="A14" s="3">
        <v>45912</v>
      </c>
      <c r="B14" s="1" t="s">
        <v>78</v>
      </c>
      <c r="C14" s="4">
        <v>16040000</v>
      </c>
      <c r="D14" s="4">
        <v>1920000</v>
      </c>
      <c r="E14" s="4">
        <v>14120000</v>
      </c>
    </row>
    <row r="15" spans="1:5" outlineLevel="3" x14ac:dyDescent="0.3">
      <c r="A15" s="3">
        <v>45915</v>
      </c>
      <c r="B15" s="1" t="s">
        <v>78</v>
      </c>
      <c r="C15" s="4">
        <v>13680000</v>
      </c>
      <c r="D15" s="4">
        <v>1640000</v>
      </c>
      <c r="E15" s="4">
        <v>12040000</v>
      </c>
    </row>
    <row r="16" spans="1:5" outlineLevel="3" x14ac:dyDescent="0.3">
      <c r="A16" s="3">
        <v>45920</v>
      </c>
      <c r="B16" s="1" t="s">
        <v>78</v>
      </c>
      <c r="C16" s="4">
        <v>13000000</v>
      </c>
      <c r="D16" s="4">
        <v>1560000</v>
      </c>
      <c r="E16" s="4">
        <v>11440000</v>
      </c>
    </row>
    <row r="17" spans="1:5" outlineLevel="2" x14ac:dyDescent="0.3">
      <c r="A17" s="3"/>
      <c r="B17" s="22" t="s">
        <v>212</v>
      </c>
      <c r="C17" s="4">
        <f>SUBTOTAL(1,C12:C16)</f>
        <v>14142000</v>
      </c>
      <c r="D17" s="4">
        <f>SUBTOTAL(1,D12:D16)</f>
        <v>1694000</v>
      </c>
      <c r="E17" s="4"/>
    </row>
    <row r="18" spans="1:5" outlineLevel="1" x14ac:dyDescent="0.3">
      <c r="A18" s="3"/>
      <c r="B18" s="22" t="s">
        <v>208</v>
      </c>
      <c r="C18" s="4"/>
      <c r="D18" s="4"/>
      <c r="E18" s="4">
        <f>SUBTOTAL(4,E12:E16)</f>
        <v>14120000</v>
      </c>
    </row>
    <row r="19" spans="1:5" outlineLevel="3" x14ac:dyDescent="0.3">
      <c r="A19" s="3">
        <v>45902</v>
      </c>
      <c r="B19" s="1" t="s">
        <v>77</v>
      </c>
      <c r="C19" s="4">
        <v>14360000</v>
      </c>
      <c r="D19" s="4">
        <v>1720000</v>
      </c>
      <c r="E19" s="4">
        <v>12640000</v>
      </c>
    </row>
    <row r="20" spans="1:5" outlineLevel="3" x14ac:dyDescent="0.3">
      <c r="A20" s="3">
        <v>45913</v>
      </c>
      <c r="B20" s="1" t="s">
        <v>77</v>
      </c>
      <c r="C20" s="4">
        <v>13300000</v>
      </c>
      <c r="D20" s="4">
        <v>1590000</v>
      </c>
      <c r="E20" s="4">
        <v>11710000</v>
      </c>
    </row>
    <row r="21" spans="1:5" outlineLevel="3" x14ac:dyDescent="0.3">
      <c r="A21" s="3">
        <v>45916</v>
      </c>
      <c r="B21" s="1" t="s">
        <v>77</v>
      </c>
      <c r="C21" s="4">
        <v>15550000</v>
      </c>
      <c r="D21" s="4">
        <v>1860000</v>
      </c>
      <c r="E21" s="4">
        <v>13690000</v>
      </c>
    </row>
    <row r="22" spans="1:5" outlineLevel="3" x14ac:dyDescent="0.3">
      <c r="A22" s="3">
        <v>45919</v>
      </c>
      <c r="B22" s="1" t="s">
        <v>77</v>
      </c>
      <c r="C22" s="4">
        <v>11990000</v>
      </c>
      <c r="D22" s="4">
        <v>1430000</v>
      </c>
      <c r="E22" s="4">
        <v>10560000</v>
      </c>
    </row>
    <row r="23" spans="1:5" outlineLevel="3" x14ac:dyDescent="0.3">
      <c r="A23" s="3">
        <v>44464</v>
      </c>
      <c r="B23" s="1" t="s">
        <v>80</v>
      </c>
      <c r="C23" s="4">
        <v>15970000</v>
      </c>
      <c r="D23" s="4">
        <v>1250000</v>
      </c>
      <c r="E23" s="4">
        <v>14720000</v>
      </c>
    </row>
    <row r="24" spans="1:5" outlineLevel="2" x14ac:dyDescent="0.3">
      <c r="A24" s="23"/>
      <c r="B24" s="25" t="s">
        <v>213</v>
      </c>
      <c r="C24" s="24">
        <f>SUBTOTAL(1,C19:C23)</f>
        <v>14234000</v>
      </c>
      <c r="D24" s="24">
        <f>SUBTOTAL(1,D19:D23)</f>
        <v>1570000</v>
      </c>
      <c r="E24" s="24"/>
    </row>
    <row r="25" spans="1:5" outlineLevel="1" x14ac:dyDescent="0.3">
      <c r="A25" s="23"/>
      <c r="B25" s="25" t="s">
        <v>209</v>
      </c>
      <c r="C25" s="24"/>
      <c r="D25" s="24"/>
      <c r="E25" s="24">
        <f>SUBTOTAL(4,E19:E23)</f>
        <v>14720000</v>
      </c>
    </row>
    <row r="26" spans="1:5" x14ac:dyDescent="0.3">
      <c r="A26" s="23"/>
      <c r="B26" s="25" t="s">
        <v>214</v>
      </c>
      <c r="C26" s="24">
        <f>SUBTOTAL(1,C4:C23)</f>
        <v>13891250</v>
      </c>
      <c r="D26" s="24">
        <f>SUBTOTAL(1,D4:D23)</f>
        <v>1588750</v>
      </c>
      <c r="E26" s="24"/>
    </row>
    <row r="27" spans="1:5" x14ac:dyDescent="0.3">
      <c r="A27" s="23"/>
      <c r="B27" s="25" t="s">
        <v>210</v>
      </c>
      <c r="C27" s="24"/>
      <c r="D27" s="24"/>
      <c r="E27" s="24">
        <f>SUBTOTAL(4,E4:E23)</f>
        <v>14720000</v>
      </c>
    </row>
  </sheetData>
  <sortState xmlns:xlrd2="http://schemas.microsoft.com/office/spreadsheetml/2017/richdata2" ref="A4:E23">
    <sortCondition ref="B3:B23"/>
  </sortState>
  <mergeCells count="1">
    <mergeCell ref="A1:E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9"/>
  <sheetViews>
    <sheetView workbookViewId="0"/>
  </sheetViews>
  <sheetFormatPr defaultRowHeight="16.5" x14ac:dyDescent="0.3"/>
  <cols>
    <col min="7" max="7" width="2.625" customWidth="1"/>
  </cols>
  <sheetData>
    <row r="1" spans="1:12" x14ac:dyDescent="0.3">
      <c r="A1" t="s">
        <v>146</v>
      </c>
      <c r="B1" s="8" t="s">
        <v>216</v>
      </c>
      <c r="C1" s="8"/>
      <c r="H1" t="s">
        <v>162</v>
      </c>
      <c r="I1" s="8" t="s">
        <v>166</v>
      </c>
    </row>
    <row r="2" spans="1:12" x14ac:dyDescent="0.3">
      <c r="A2" s="13" t="s">
        <v>215</v>
      </c>
      <c r="B2" s="13" t="s">
        <v>153</v>
      </c>
      <c r="C2" s="13" t="s">
        <v>154</v>
      </c>
      <c r="D2" s="13" t="s">
        <v>155</v>
      </c>
      <c r="E2" s="13" t="s">
        <v>156</v>
      </c>
      <c r="F2" s="13" t="s">
        <v>157</v>
      </c>
      <c r="H2" s="1" t="s">
        <v>153</v>
      </c>
      <c r="I2" s="1" t="s">
        <v>154</v>
      </c>
      <c r="J2" s="1" t="s">
        <v>155</v>
      </c>
      <c r="K2" s="1" t="s">
        <v>156</v>
      </c>
      <c r="L2" s="1" t="s">
        <v>157</v>
      </c>
    </row>
    <row r="3" spans="1:12" x14ac:dyDescent="0.3">
      <c r="A3" s="31" t="s">
        <v>165</v>
      </c>
      <c r="B3" s="13" t="s">
        <v>148</v>
      </c>
      <c r="C3" s="4">
        <v>300</v>
      </c>
      <c r="D3" s="4">
        <v>250</v>
      </c>
      <c r="E3" s="4">
        <v>280</v>
      </c>
      <c r="F3" s="4">
        <v>210</v>
      </c>
      <c r="H3" s="1" t="s">
        <v>147</v>
      </c>
      <c r="I3" s="10">
        <v>243.33333333333334</v>
      </c>
      <c r="J3" s="10">
        <v>201.66666666666666</v>
      </c>
      <c r="K3" s="10">
        <v>209.66666666666666</v>
      </c>
      <c r="L3" s="10">
        <v>196.66666666666666</v>
      </c>
    </row>
    <row r="4" spans="1:12" x14ac:dyDescent="0.3">
      <c r="A4" s="31"/>
      <c r="B4" s="13" t="s">
        <v>150</v>
      </c>
      <c r="C4" s="4">
        <v>150</v>
      </c>
      <c r="D4" s="4">
        <v>180</v>
      </c>
      <c r="E4" s="4">
        <v>190</v>
      </c>
      <c r="F4" s="4">
        <v>175</v>
      </c>
      <c r="H4" s="1" t="s">
        <v>149</v>
      </c>
      <c r="I4" s="10">
        <v>150</v>
      </c>
      <c r="J4" s="10">
        <v>188</v>
      </c>
      <c r="K4" s="10">
        <v>172</v>
      </c>
      <c r="L4" s="10">
        <v>229</v>
      </c>
    </row>
    <row r="5" spans="1:12" x14ac:dyDescent="0.3">
      <c r="A5" s="31"/>
      <c r="B5" s="13" t="s">
        <v>152</v>
      </c>
      <c r="C5" s="4">
        <v>250</v>
      </c>
      <c r="D5" s="4">
        <v>130</v>
      </c>
      <c r="E5" s="4">
        <v>150</v>
      </c>
      <c r="F5" s="4">
        <v>115</v>
      </c>
      <c r="H5" s="1" t="s">
        <v>151</v>
      </c>
      <c r="I5" s="10">
        <v>143.33333333333334</v>
      </c>
      <c r="J5" s="10">
        <v>103.66666666666667</v>
      </c>
      <c r="K5" s="10">
        <v>114.66666666666667</v>
      </c>
      <c r="L5" s="10">
        <v>109.66666666666667</v>
      </c>
    </row>
    <row r="6" spans="1:12" x14ac:dyDescent="0.3">
      <c r="A6" s="31"/>
      <c r="B6" s="13" t="s">
        <v>159</v>
      </c>
      <c r="C6" s="4">
        <v>100</v>
      </c>
      <c r="D6" s="4">
        <v>110</v>
      </c>
      <c r="E6" s="4">
        <v>90</v>
      </c>
      <c r="F6" s="4">
        <v>85</v>
      </c>
      <c r="H6" s="1" t="s">
        <v>158</v>
      </c>
      <c r="I6" s="10">
        <v>75</v>
      </c>
      <c r="J6" s="10">
        <v>80</v>
      </c>
      <c r="K6" s="10">
        <v>75.666666666666671</v>
      </c>
      <c r="L6" s="10">
        <v>78.333333333333329</v>
      </c>
    </row>
    <row r="7" spans="1:12" x14ac:dyDescent="0.3">
      <c r="A7" s="31"/>
      <c r="B7" s="6" t="s">
        <v>161</v>
      </c>
      <c r="C7" s="7">
        <v>140</v>
      </c>
      <c r="D7" s="7">
        <v>90</v>
      </c>
      <c r="E7" s="7">
        <v>130</v>
      </c>
      <c r="F7" s="7">
        <v>75</v>
      </c>
      <c r="H7" s="1" t="s">
        <v>160</v>
      </c>
      <c r="I7" s="10">
        <v>105</v>
      </c>
      <c r="J7" s="10">
        <v>90</v>
      </c>
      <c r="K7" s="10">
        <v>96.666666666666671</v>
      </c>
      <c r="L7" s="10">
        <v>74</v>
      </c>
    </row>
    <row r="8" spans="1:12" x14ac:dyDescent="0.3">
      <c r="A8" s="31" t="s">
        <v>164</v>
      </c>
      <c r="B8" s="13" t="s">
        <v>148</v>
      </c>
      <c r="C8" s="4">
        <v>220</v>
      </c>
      <c r="D8" s="4">
        <v>160</v>
      </c>
      <c r="E8" s="4">
        <v>174</v>
      </c>
      <c r="F8" s="4">
        <v>140</v>
      </c>
    </row>
    <row r="9" spans="1:12" x14ac:dyDescent="0.3">
      <c r="A9" s="31"/>
      <c r="B9" s="6" t="s">
        <v>161</v>
      </c>
      <c r="C9" s="4">
        <v>100</v>
      </c>
      <c r="D9" s="4">
        <v>95</v>
      </c>
      <c r="E9" s="4">
        <v>67</v>
      </c>
      <c r="F9" s="4">
        <v>97</v>
      </c>
    </row>
    <row r="10" spans="1:12" x14ac:dyDescent="0.3">
      <c r="A10" s="31"/>
      <c r="B10" s="13" t="s">
        <v>152</v>
      </c>
      <c r="C10" s="4">
        <v>90</v>
      </c>
      <c r="D10" s="4">
        <v>76</v>
      </c>
      <c r="E10" s="4">
        <v>84</v>
      </c>
      <c r="F10" s="4">
        <v>74</v>
      </c>
    </row>
    <row r="11" spans="1:12" x14ac:dyDescent="0.3">
      <c r="A11" s="31"/>
      <c r="B11" s="13" t="s">
        <v>159</v>
      </c>
      <c r="C11" s="4">
        <v>75</v>
      </c>
      <c r="D11" s="4">
        <v>65</v>
      </c>
      <c r="E11" s="4">
        <v>43</v>
      </c>
      <c r="F11" s="4">
        <v>64</v>
      </c>
    </row>
    <row r="12" spans="1:12" x14ac:dyDescent="0.3">
      <c r="A12" s="31"/>
      <c r="B12" s="13" t="s">
        <v>150</v>
      </c>
      <c r="C12" s="7">
        <v>180</v>
      </c>
      <c r="D12" s="7">
        <v>234</v>
      </c>
      <c r="E12" s="7">
        <v>196</v>
      </c>
      <c r="F12" s="7">
        <v>222</v>
      </c>
    </row>
    <row r="13" spans="1:12" x14ac:dyDescent="0.3">
      <c r="A13" s="31" t="s">
        <v>163</v>
      </c>
      <c r="B13" s="13" t="s">
        <v>152</v>
      </c>
      <c r="C13" s="4">
        <v>90</v>
      </c>
      <c r="D13" s="4">
        <v>105</v>
      </c>
      <c r="E13" s="4">
        <v>110</v>
      </c>
      <c r="F13" s="4">
        <v>140</v>
      </c>
    </row>
    <row r="14" spans="1:12" x14ac:dyDescent="0.3">
      <c r="A14" s="31"/>
      <c r="B14" s="6" t="s">
        <v>161</v>
      </c>
      <c r="C14" s="7">
        <v>75</v>
      </c>
      <c r="D14" s="7">
        <v>85</v>
      </c>
      <c r="E14" s="7">
        <v>93</v>
      </c>
      <c r="F14" s="7">
        <v>50</v>
      </c>
    </row>
    <row r="15" spans="1:12" x14ac:dyDescent="0.3">
      <c r="A15" s="31"/>
      <c r="B15" s="13" t="s">
        <v>150</v>
      </c>
      <c r="C15" s="7">
        <v>120</v>
      </c>
      <c r="D15" s="7">
        <v>150</v>
      </c>
      <c r="E15" s="7">
        <v>130</v>
      </c>
      <c r="F15" s="7">
        <v>290</v>
      </c>
    </row>
    <row r="16" spans="1:12" x14ac:dyDescent="0.3">
      <c r="A16" s="31"/>
      <c r="B16" s="13" t="s">
        <v>148</v>
      </c>
      <c r="C16" s="7">
        <v>210</v>
      </c>
      <c r="D16" s="7">
        <v>195</v>
      </c>
      <c r="E16" s="7">
        <v>175</v>
      </c>
      <c r="F16" s="7">
        <v>240</v>
      </c>
      <c r="I16" s="9"/>
      <c r="J16" s="9"/>
      <c r="K16" s="9"/>
      <c r="L16" s="9"/>
    </row>
    <row r="17" spans="1:12" x14ac:dyDescent="0.3">
      <c r="A17" s="31"/>
      <c r="B17" s="13" t="s">
        <v>159</v>
      </c>
      <c r="C17" s="7">
        <v>50</v>
      </c>
      <c r="D17" s="7">
        <v>65</v>
      </c>
      <c r="E17" s="7">
        <v>94</v>
      </c>
      <c r="F17" s="7">
        <v>86</v>
      </c>
    </row>
    <row r="18" spans="1:12" x14ac:dyDescent="0.3">
      <c r="I18" s="9"/>
      <c r="J18" s="9"/>
      <c r="K18" s="9"/>
      <c r="L18" s="9"/>
    </row>
    <row r="19" spans="1:12" x14ac:dyDescent="0.3">
      <c r="I19" s="9"/>
      <c r="J19" s="9"/>
      <c r="K19" s="9"/>
      <c r="L19" s="9"/>
    </row>
  </sheetData>
  <dataConsolidate function="average" leftLabels="1" topLabels="1">
    <dataRefs count="1">
      <dataRef ref="B2:F17" sheet="분석작업-2"/>
    </dataRefs>
  </dataConsolidate>
  <mergeCells count="3">
    <mergeCell ref="A3:A7"/>
    <mergeCell ref="A8:A12"/>
    <mergeCell ref="A13:A17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9"/>
  <sheetViews>
    <sheetView workbookViewId="0">
      <selection sqref="A1:G1"/>
    </sheetView>
  </sheetViews>
  <sheetFormatPr defaultRowHeight="16.5" x14ac:dyDescent="0.3"/>
  <cols>
    <col min="1" max="1" width="14.75" customWidth="1"/>
  </cols>
  <sheetData>
    <row r="1" spans="1:7" ht="20.25" x14ac:dyDescent="0.3">
      <c r="A1" s="34" t="s">
        <v>131</v>
      </c>
      <c r="B1" s="34"/>
      <c r="C1" s="34"/>
      <c r="D1" s="34"/>
      <c r="E1" s="34"/>
      <c r="F1" s="34"/>
      <c r="G1" s="34"/>
    </row>
    <row r="3" spans="1:7" x14ac:dyDescent="0.3">
      <c r="A3" s="26" t="s">
        <v>124</v>
      </c>
      <c r="B3" s="27" t="s">
        <v>125</v>
      </c>
      <c r="C3" s="27" t="s">
        <v>126</v>
      </c>
      <c r="D3" s="27" t="s">
        <v>127</v>
      </c>
      <c r="E3" s="27" t="s">
        <v>128</v>
      </c>
      <c r="F3" s="27" t="s">
        <v>129</v>
      </c>
      <c r="G3" s="27" t="s">
        <v>130</v>
      </c>
    </row>
    <row r="4" spans="1:7" x14ac:dyDescent="0.3">
      <c r="A4" s="5" t="s">
        <v>89</v>
      </c>
      <c r="B4" s="5">
        <v>150</v>
      </c>
      <c r="C4" s="5">
        <v>180</v>
      </c>
      <c r="D4" s="5">
        <v>160</v>
      </c>
      <c r="E4" s="5">
        <v>200</v>
      </c>
      <c r="F4" s="5">
        <v>210</v>
      </c>
      <c r="G4" s="5">
        <f>AVERAGE(B4:F4)</f>
        <v>180</v>
      </c>
    </row>
    <row r="5" spans="1:7" x14ac:dyDescent="0.3">
      <c r="A5" s="5" t="s">
        <v>116</v>
      </c>
      <c r="B5" s="5">
        <v>130</v>
      </c>
      <c r="C5" s="5">
        <v>150</v>
      </c>
      <c r="D5" s="5">
        <v>200</v>
      </c>
      <c r="E5" s="5">
        <v>120</v>
      </c>
      <c r="F5" s="5">
        <v>220</v>
      </c>
      <c r="G5" s="5">
        <f t="shared" ref="G5:G9" si="0">AVERAGE(B5:F5)</f>
        <v>164</v>
      </c>
    </row>
    <row r="6" spans="1:7" x14ac:dyDescent="0.3">
      <c r="A6" s="5" t="s">
        <v>132</v>
      </c>
      <c r="B6" s="5">
        <v>250</v>
      </c>
      <c r="C6" s="5">
        <v>300</v>
      </c>
      <c r="D6" s="5">
        <v>280</v>
      </c>
      <c r="E6" s="5">
        <v>260</v>
      </c>
      <c r="F6" s="5">
        <v>320</v>
      </c>
      <c r="G6" s="5">
        <f t="shared" si="0"/>
        <v>282</v>
      </c>
    </row>
    <row r="7" spans="1:7" x14ac:dyDescent="0.3">
      <c r="A7" s="5" t="s">
        <v>121</v>
      </c>
      <c r="B7" s="5">
        <v>220</v>
      </c>
      <c r="C7" s="5">
        <v>190</v>
      </c>
      <c r="D7" s="5">
        <v>200</v>
      </c>
      <c r="E7" s="5">
        <v>150</v>
      </c>
      <c r="F7" s="5">
        <v>190</v>
      </c>
      <c r="G7" s="5">
        <f t="shared" si="0"/>
        <v>190</v>
      </c>
    </row>
    <row r="8" spans="1:7" x14ac:dyDescent="0.3">
      <c r="A8" s="5" t="s">
        <v>133</v>
      </c>
      <c r="B8" s="5">
        <v>180</v>
      </c>
      <c r="C8" s="5">
        <v>200</v>
      </c>
      <c r="D8" s="5">
        <v>210</v>
      </c>
      <c r="E8" s="5">
        <v>250</v>
      </c>
      <c r="F8" s="5">
        <v>130</v>
      </c>
      <c r="G8" s="5">
        <f t="shared" si="0"/>
        <v>194</v>
      </c>
    </row>
    <row r="9" spans="1:7" x14ac:dyDescent="0.3">
      <c r="A9" s="5" t="s">
        <v>107</v>
      </c>
      <c r="B9" s="5">
        <v>160</v>
      </c>
      <c r="C9" s="5">
        <v>150</v>
      </c>
      <c r="D9" s="5">
        <v>170</v>
      </c>
      <c r="E9" s="5">
        <v>200</v>
      </c>
      <c r="F9" s="5">
        <v>250</v>
      </c>
      <c r="G9" s="5">
        <f t="shared" si="0"/>
        <v>186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서식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8"/>
  <sheetViews>
    <sheetView workbookViewId="0">
      <selection activeCell="M33" sqref="M33"/>
    </sheetView>
  </sheetViews>
  <sheetFormatPr defaultRowHeight="16.5" x14ac:dyDescent="0.3"/>
  <sheetData>
    <row r="1" spans="1:6" x14ac:dyDescent="0.3">
      <c r="A1" s="35" t="s">
        <v>134</v>
      </c>
      <c r="B1" s="35"/>
      <c r="C1" s="35"/>
      <c r="D1" s="35"/>
      <c r="E1" s="35"/>
      <c r="F1" s="35"/>
    </row>
    <row r="3" spans="1:6" x14ac:dyDescent="0.3">
      <c r="A3" s="1" t="s">
        <v>143</v>
      </c>
      <c r="B3" s="1" t="s">
        <v>142</v>
      </c>
      <c r="C3" s="1" t="s">
        <v>141</v>
      </c>
      <c r="D3" s="1" t="s">
        <v>140</v>
      </c>
      <c r="E3" s="1" t="s">
        <v>144</v>
      </c>
      <c r="F3" s="6" t="s">
        <v>145</v>
      </c>
    </row>
    <row r="4" spans="1:6" x14ac:dyDescent="0.3">
      <c r="A4" s="1" t="s">
        <v>135</v>
      </c>
      <c r="B4" s="4">
        <v>158</v>
      </c>
      <c r="C4" s="4">
        <v>140</v>
      </c>
      <c r="D4" s="4">
        <v>170</v>
      </c>
      <c r="E4" s="4">
        <v>162</v>
      </c>
      <c r="F4" s="7">
        <f>SUM(B4:E4)</f>
        <v>630</v>
      </c>
    </row>
    <row r="5" spans="1:6" x14ac:dyDescent="0.3">
      <c r="A5" s="1" t="s">
        <v>138</v>
      </c>
      <c r="B5" s="4">
        <v>120</v>
      </c>
      <c r="C5" s="4">
        <v>115</v>
      </c>
      <c r="D5" s="4">
        <v>106</v>
      </c>
      <c r="E5" s="4">
        <v>125</v>
      </c>
      <c r="F5" s="7">
        <f t="shared" ref="F5:F8" si="0">SUM(B5:E5)</f>
        <v>466</v>
      </c>
    </row>
    <row r="6" spans="1:6" x14ac:dyDescent="0.3">
      <c r="A6" s="1" t="s">
        <v>139</v>
      </c>
      <c r="B6" s="4">
        <v>180</v>
      </c>
      <c r="C6" s="4">
        <v>190</v>
      </c>
      <c r="D6" s="4">
        <v>165</v>
      </c>
      <c r="E6" s="4">
        <v>170</v>
      </c>
      <c r="F6" s="7">
        <f t="shared" si="0"/>
        <v>705</v>
      </c>
    </row>
    <row r="7" spans="1:6" x14ac:dyDescent="0.3">
      <c r="A7" s="1" t="s">
        <v>136</v>
      </c>
      <c r="B7" s="4">
        <v>109</v>
      </c>
      <c r="C7" s="4">
        <v>120</v>
      </c>
      <c r="D7" s="4">
        <v>129</v>
      </c>
      <c r="E7" s="4">
        <v>115</v>
      </c>
      <c r="F7" s="7">
        <f t="shared" si="0"/>
        <v>473</v>
      </c>
    </row>
    <row r="8" spans="1:6" x14ac:dyDescent="0.3">
      <c r="A8" s="1" t="s">
        <v>137</v>
      </c>
      <c r="B8" s="4">
        <v>130</v>
      </c>
      <c r="C8" s="4">
        <v>120</v>
      </c>
      <c r="D8" s="4">
        <v>135</v>
      </c>
      <c r="E8" s="4">
        <v>140</v>
      </c>
      <c r="F8" s="7">
        <f t="shared" si="0"/>
        <v>525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2023-02-06T06:23:03Z</dcterms:created>
  <dcterms:modified xsi:type="dcterms:W3CDTF">2023-08-15T11:50:59Z</dcterms:modified>
</cp:coreProperties>
</file>