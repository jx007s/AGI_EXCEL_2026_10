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출문제(1~2회)\"/>
    </mc:Choice>
  </mc:AlternateContent>
  <xr:revisionPtr revIDLastSave="0" documentId="8_{40930D52-3C50-4964-AF1E-BE8A565105A7}" xr6:coauthVersionLast="47" xr6:coauthVersionMax="47" xr10:uidLastSave="{00000000-0000-0000-0000-000000000000}"/>
  <bookViews>
    <workbookView xWindow="610" yWindow="1760" windowWidth="22160" windowHeight="15080" tabRatio="928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10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4" i="8"/>
</calcChain>
</file>

<file path=xl/sharedStrings.xml><?xml version="1.0" encoding="utf-8"?>
<sst xmlns="http://schemas.openxmlformats.org/spreadsheetml/2006/main" count="231" uniqueCount="171">
  <si>
    <t>대학로 연극 공연 일정</t>
    <phoneticPr fontId="1" type="noConversion"/>
  </si>
  <si>
    <t>지역별 미수금 현황</t>
    <phoneticPr fontId="1" type="noConversion"/>
  </si>
  <si>
    <t>지역</t>
    <phoneticPr fontId="1" type="noConversion"/>
  </si>
  <si>
    <t>담당자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</si>
  <si>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</si>
  <si>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</si>
  <si>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</si>
  <si>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</si>
  <si>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</si>
  <si>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</si>
  <si>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</si>
  <si>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</si>
  <si>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</si>
  <si>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</si>
  <si>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</si>
  <si>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</si>
  <si>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</si>
  <si>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</si>
  <si>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</si>
  <si>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</si>
  <si>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</si>
  <si>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</si>
  <si>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</si>
  <si>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</si>
  <si>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서울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</si>
  <si>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</si>
  <si>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</si>
  <si>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</si>
  <si>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</si>
  <si>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충청도</t>
    <phoneticPr fontId="1" type="noConversion"/>
  </si>
  <si>
    <t>이찬성</t>
    <phoneticPr fontId="1" type="noConversion"/>
  </si>
  <si>
    <t>이형중</t>
    <phoneticPr fontId="1" type="noConversion"/>
  </si>
  <si>
    <t>이동현</t>
    <phoneticPr fontId="1" type="noConversion"/>
  </si>
  <si>
    <t>거래업체별 거래현황</t>
    <phoneticPr fontId="1" type="noConversion"/>
  </si>
  <si>
    <t>거래일자</t>
    <phoneticPr fontId="1" type="noConversion"/>
  </si>
  <si>
    <t>거래업체명</t>
    <phoneticPr fontId="1" type="noConversion"/>
  </si>
  <si>
    <t>거래금액</t>
    <phoneticPr fontId="1" type="noConversion"/>
  </si>
  <si>
    <t>실지급액</t>
    <phoneticPr fontId="1" type="noConversion"/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</si>
  <si>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</si>
  <si>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</si>
  <si>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</si>
  <si>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</si>
  <si>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</si>
  <si>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집합형 디지털 새싹 캠프 현황</t>
    <phoneticPr fontId="1" type="noConversion"/>
  </si>
  <si>
    <t>참여대상</t>
    <phoneticPr fontId="1" type="noConversion"/>
  </si>
  <si>
    <t>프로그램명</t>
    <phoneticPr fontId="1" type="noConversion"/>
  </si>
  <si>
    <t>학교</t>
    <phoneticPr fontId="1" type="noConversion"/>
  </si>
  <si>
    <t>교육 일시</t>
    <phoneticPr fontId="1" type="noConversion"/>
  </si>
  <si>
    <t>시간</t>
    <phoneticPr fontId="1" type="noConversion"/>
  </si>
  <si>
    <t>초3</t>
    <phoneticPr fontId="1" type="noConversion"/>
  </si>
  <si>
    <t>자율주행차 캠프</t>
    <phoneticPr fontId="1" type="noConversion"/>
  </si>
  <si>
    <t>서울교육대학교</t>
    <phoneticPr fontId="1" type="noConversion"/>
  </si>
  <si>
    <t>2/17 ~ 2/18</t>
    <phoneticPr fontId="1" type="noConversion"/>
  </si>
  <si>
    <t>13:30 ~ 17:00</t>
    <phoneticPr fontId="1" type="noConversion"/>
  </si>
  <si>
    <t>재미있는 피지컬 컴퓨팅 캠프</t>
    <phoneticPr fontId="1" type="noConversion"/>
  </si>
  <si>
    <t>2/15 ~ 2/16</t>
    <phoneticPr fontId="1" type="noConversion"/>
  </si>
  <si>
    <t>09:00 ~ 12:30</t>
    <phoneticPr fontId="1" type="noConversion"/>
  </si>
  <si>
    <t>초3-4</t>
    <phoneticPr fontId="1" type="noConversion"/>
  </si>
  <si>
    <t>둠칫둠칫 AI 아뜰리에</t>
    <phoneticPr fontId="1" type="noConversion"/>
  </si>
  <si>
    <t>국민대학교</t>
    <phoneticPr fontId="1" type="noConversion"/>
  </si>
  <si>
    <t>2/20 ~ 2/23</t>
    <phoneticPr fontId="1" type="noConversion"/>
  </si>
  <si>
    <t>14:00 ~ 16:00</t>
    <phoneticPr fontId="1" type="noConversion"/>
  </si>
  <si>
    <t>경기</t>
    <phoneticPr fontId="1" type="noConversion"/>
  </si>
  <si>
    <t>초4-6</t>
    <phoneticPr fontId="1" type="noConversion"/>
  </si>
  <si>
    <t>화성에서 식물 키우기</t>
    <phoneticPr fontId="1" type="noConversion"/>
  </si>
  <si>
    <t>한국항공대</t>
    <phoneticPr fontId="1" type="noConversion"/>
  </si>
  <si>
    <t>2/11 ~ 2/12</t>
    <phoneticPr fontId="1" type="noConversion"/>
  </si>
  <si>
    <t>09:00 ~ 14:00</t>
    <phoneticPr fontId="1" type="noConversion"/>
  </si>
  <si>
    <t>아두이노로 식물 키워봐요!</t>
    <phoneticPr fontId="1" type="noConversion"/>
  </si>
  <si>
    <t>가천대학교</t>
    <phoneticPr fontId="1" type="noConversion"/>
  </si>
  <si>
    <t>2/10 ~ 2/11</t>
    <phoneticPr fontId="1" type="noConversion"/>
  </si>
  <si>
    <t>10:00 ~ 13:30</t>
    <phoneticPr fontId="1" type="noConversion"/>
  </si>
  <si>
    <t>중학교</t>
    <phoneticPr fontId="1" type="noConversion"/>
  </si>
  <si>
    <t>로봇을 활용한 인공지능 학습</t>
    <phoneticPr fontId="1" type="noConversion"/>
  </si>
  <si>
    <t>한성대학교</t>
    <phoneticPr fontId="1" type="noConversion"/>
  </si>
  <si>
    <t>2/13 ~ 2/14</t>
    <phoneticPr fontId="1" type="noConversion"/>
  </si>
  <si>
    <t>13:00 ~ 17:00</t>
    <phoneticPr fontId="1" type="noConversion"/>
  </si>
  <si>
    <t>영상분석기반 자율주행자동차</t>
    <phoneticPr fontId="1" type="noConversion"/>
  </si>
  <si>
    <t>한양대학교</t>
    <phoneticPr fontId="1" type="noConversion"/>
  </si>
  <si>
    <t>2/23 ~ 2/24</t>
    <phoneticPr fontId="1" type="noConversion"/>
  </si>
  <si>
    <t>09:00 ~ 16:00</t>
    <phoneticPr fontId="1" type="noConversion"/>
  </si>
  <si>
    <t>고등학교</t>
    <phoneticPr fontId="1" type="noConversion"/>
  </si>
  <si>
    <t>오렌지데이터마이닝 캠프</t>
    <phoneticPr fontId="1" type="noConversion"/>
  </si>
  <si>
    <t>성균관대학교</t>
    <phoneticPr fontId="1" type="noConversion"/>
  </si>
  <si>
    <t>2/25 ~ 2/26</t>
    <phoneticPr fontId="1" type="noConversion"/>
  </si>
  <si>
    <t>접수인원</t>
    <phoneticPr fontId="1" type="noConversion"/>
  </si>
  <si>
    <t>학교명</t>
    <phoneticPr fontId="1" type="noConversion"/>
  </si>
  <si>
    <t>1차</t>
    <phoneticPr fontId="1" type="noConversion"/>
  </si>
  <si>
    <t>2차</t>
  </si>
  <si>
    <t>3차</t>
  </si>
  <si>
    <t>4차</t>
  </si>
  <si>
    <t>5차</t>
  </si>
  <si>
    <t>평균</t>
    <phoneticPr fontId="1" type="noConversion"/>
  </si>
  <si>
    <t>디지털 새싹 참여 현황</t>
    <phoneticPr fontId="1" type="noConversion"/>
  </si>
  <si>
    <t>항공대학교</t>
    <phoneticPr fontId="1" type="noConversion"/>
  </si>
  <si>
    <t>상명대학교</t>
    <phoneticPr fontId="1" type="noConversion"/>
  </si>
  <si>
    <t>문화예술학교 회원 현황</t>
    <phoneticPr fontId="1" type="noConversion"/>
  </si>
  <si>
    <t>난타</t>
    <phoneticPr fontId="1" type="noConversion"/>
  </si>
  <si>
    <t>도예</t>
    <phoneticPr fontId="1" type="noConversion"/>
  </si>
  <si>
    <t>수채화</t>
    <phoneticPr fontId="1" type="noConversion"/>
  </si>
  <si>
    <t>서예</t>
    <phoneticPr fontId="1" type="noConversion"/>
  </si>
  <si>
    <t>드럼</t>
    <phoneticPr fontId="1" type="noConversion"/>
  </si>
  <si>
    <t>2023년</t>
    <phoneticPr fontId="1" type="noConversion"/>
  </si>
  <si>
    <t>2022년</t>
    <phoneticPr fontId="1" type="noConversion"/>
  </si>
  <si>
    <t>2021년</t>
  </si>
  <si>
    <t>과목명</t>
    <phoneticPr fontId="1" type="noConversion"/>
  </si>
  <si>
    <t>2024년</t>
    <phoneticPr fontId="1" type="noConversion"/>
  </si>
  <si>
    <t>합계</t>
    <phoneticPr fontId="1" type="noConversion"/>
  </si>
  <si>
    <t>[표1]</t>
    <phoneticPr fontId="1" type="noConversion"/>
  </si>
  <si>
    <t>맛김치</t>
  </si>
  <si>
    <t>맛김치</t>
    <phoneticPr fontId="1" type="noConversion"/>
  </si>
  <si>
    <t>포기김치</t>
  </si>
  <si>
    <t>포기김치</t>
    <phoneticPr fontId="1" type="noConversion"/>
  </si>
  <si>
    <t>총각김치</t>
  </si>
  <si>
    <t>총각김치</t>
    <phoneticPr fontId="1" type="noConversion"/>
  </si>
  <si>
    <t>제품</t>
    <phoneticPr fontId="1" type="noConversion"/>
  </si>
  <si>
    <t>1분기</t>
    <phoneticPr fontId="1" type="noConversion"/>
  </si>
  <si>
    <t>2분기</t>
    <phoneticPr fontId="1" type="noConversion"/>
  </si>
  <si>
    <t>3분기</t>
  </si>
  <si>
    <t>4분기</t>
  </si>
  <si>
    <t>백김치</t>
  </si>
  <si>
    <t>백김치</t>
    <phoneticPr fontId="1" type="noConversion"/>
  </si>
  <si>
    <t>열무김치</t>
  </si>
  <si>
    <t>열무김치</t>
    <phoneticPr fontId="1" type="noConversion"/>
  </si>
  <si>
    <t>[표2]</t>
    <phoneticPr fontId="1" type="noConversion"/>
  </si>
  <si>
    <t>롯데마트</t>
    <phoneticPr fontId="1" type="noConversion"/>
  </si>
  <si>
    <t>홈플러스</t>
    <phoneticPr fontId="1" type="noConversion"/>
  </si>
  <si>
    <t>이마트</t>
    <phoneticPr fontId="1" type="noConversion"/>
  </si>
  <si>
    <t>마트 판매량 평균</t>
    <phoneticPr fontId="1" type="noConversion"/>
  </si>
  <si>
    <t>사원번호</t>
    <phoneticPr fontId="1" type="noConversion"/>
  </si>
  <si>
    <t>이름</t>
    <phoneticPr fontId="1" type="noConversion"/>
  </si>
  <si>
    <t>부서</t>
    <phoneticPr fontId="1" type="noConversion"/>
  </si>
  <si>
    <t>근무년수</t>
    <phoneticPr fontId="1" type="noConversion"/>
  </si>
  <si>
    <t>인사평가</t>
    <phoneticPr fontId="1" type="noConversion"/>
  </si>
  <si>
    <t>출근시간</t>
    <phoneticPr fontId="1" type="noConversion"/>
  </si>
  <si>
    <t>소속</t>
    <phoneticPr fontId="1" type="noConversion"/>
  </si>
  <si>
    <t>근무지</t>
    <phoneticPr fontId="1" type="noConversion"/>
  </si>
  <si>
    <t>생산, 영업 인사평가 최저 점수 평균</t>
    <phoneticPr fontId="1" type="noConversion"/>
  </si>
  <si>
    <t>G-S890</t>
    <phoneticPr fontId="1" type="noConversion"/>
  </si>
  <si>
    <t>최예솔</t>
    <phoneticPr fontId="1" type="noConversion"/>
  </si>
  <si>
    <t>생산</t>
    <phoneticPr fontId="1" type="noConversion"/>
  </si>
  <si>
    <t>B-K247</t>
    <phoneticPr fontId="1" type="noConversion"/>
  </si>
  <si>
    <t>신동민</t>
    <phoneticPr fontId="1" type="noConversion"/>
  </si>
  <si>
    <t>영업</t>
    <phoneticPr fontId="1" type="noConversion"/>
  </si>
  <si>
    <t>G-I679</t>
    <phoneticPr fontId="1" type="noConversion"/>
  </si>
  <si>
    <t>김국자</t>
    <phoneticPr fontId="1" type="noConversion"/>
  </si>
  <si>
    <t>근무년수가 5년 이상 10년 미만 비율</t>
    <phoneticPr fontId="1" type="noConversion"/>
  </si>
  <si>
    <t>B-S247</t>
    <phoneticPr fontId="1" type="noConversion"/>
  </si>
  <si>
    <t>이옥희</t>
    <phoneticPr fontId="1" type="noConversion"/>
  </si>
  <si>
    <t>G-K375</t>
    <phoneticPr fontId="1" type="noConversion"/>
  </si>
  <si>
    <t>강성민</t>
    <phoneticPr fontId="1" type="noConversion"/>
  </si>
  <si>
    <t>관리</t>
    <phoneticPr fontId="1" type="noConversion"/>
  </si>
  <si>
    <t>G-S614</t>
    <phoneticPr fontId="1" type="noConversion"/>
  </si>
  <si>
    <t>우재호</t>
    <phoneticPr fontId="1" type="noConversion"/>
  </si>
  <si>
    <t>B-K978</t>
    <phoneticPr fontId="1" type="noConversion"/>
  </si>
  <si>
    <t>곽정우</t>
    <phoneticPr fontId="1" type="noConversion"/>
  </si>
  <si>
    <t>B-I140</t>
    <phoneticPr fontId="1" type="noConversion"/>
  </si>
  <si>
    <t>유전수</t>
    <phoneticPr fontId="1" type="noConversion"/>
  </si>
  <si>
    <t>G-S852</t>
    <phoneticPr fontId="1" type="noConversion"/>
  </si>
  <si>
    <t>박기찬</t>
    <phoneticPr fontId="1" type="noConversion"/>
  </si>
  <si>
    <t>&lt;지역코드표&gt;</t>
    <phoneticPr fontId="1" type="noConversion"/>
  </si>
  <si>
    <t>&lt;조건&gt;</t>
    <phoneticPr fontId="1" type="noConversion"/>
  </si>
  <si>
    <t>코드</t>
    <phoneticPr fontId="1" type="noConversion"/>
  </si>
  <si>
    <t>S</t>
    <phoneticPr fontId="1" type="noConversion"/>
  </si>
  <si>
    <t>K</t>
    <phoneticPr fontId="1" type="noConversion"/>
  </si>
  <si>
    <t>I</t>
    <phoneticPr fontId="1" type="noConversion"/>
  </si>
  <si>
    <t>G-S124</t>
    <phoneticPr fontId="1" type="noConversion"/>
  </si>
  <si>
    <t>오수민</t>
    <phoneticPr fontId="1" type="noConversion"/>
  </si>
  <si>
    <t>가장 빠른 출근 시간</t>
    <phoneticPr fontId="1" type="noConversion"/>
  </si>
  <si>
    <t>마트별 분기별 판매량</t>
    <phoneticPr fontId="1" type="noConversion"/>
  </si>
  <si>
    <t>마트명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</si>
</sst>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41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문화예술학교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2021년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158</c:v>
                </c:pt>
                <c:pt idx="1">
                  <c:v>120</c:v>
                </c:pt>
                <c:pt idx="2">
                  <c:v>180</c:v>
                </c:pt>
                <c:pt idx="3">
                  <c:v>109</c:v>
                </c:pt>
                <c:pt idx="4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4-4E45-82EC-F1751F6BA52E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140</c:v>
                </c:pt>
                <c:pt idx="1">
                  <c:v>115</c:v>
                </c:pt>
                <c:pt idx="2">
                  <c:v>190</c:v>
                </c:pt>
                <c:pt idx="3">
                  <c:v>120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24-4E45-82EC-F1751F6BA52E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170</c:v>
                </c:pt>
                <c:pt idx="1">
                  <c:v>106</c:v>
                </c:pt>
                <c:pt idx="2">
                  <c:v>165</c:v>
                </c:pt>
                <c:pt idx="3">
                  <c:v>129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24-4E45-82EC-F1751F6BA52E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162</c:v>
                </c:pt>
                <c:pt idx="1">
                  <c:v>125</c:v>
                </c:pt>
                <c:pt idx="2">
                  <c:v>170</c:v>
                </c:pt>
                <c:pt idx="3">
                  <c:v>115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24-4E45-82EC-F1751F6BA52E}"/>
            </c:ext>
          </c:extLst>
        </c:ser>
        <c:ser>
          <c:idx val="4"/>
          <c:order val="4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차트작업!$F$4:$F$8</c:f>
              <c:numCache>
                <c:formatCode>_(* #,##0_);_(* \(#,##0\);_(* "-"_);_(@_)</c:formatCode>
                <c:ptCount val="5"/>
                <c:pt idx="0">
                  <c:v>630</c:v>
                </c:pt>
                <c:pt idx="1">
                  <c:v>466</c:v>
                </c:pt>
                <c:pt idx="2">
                  <c:v>705</c:v>
                </c:pt>
                <c:pt idx="3">
                  <c:v>473</c:v>
                </c:pt>
                <c:pt idx="4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24-4E45-82EC-F1751F6BA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9557887"/>
        <c:axId val="1289560383"/>
      </c:barChart>
      <c:catAx>
        <c:axId val="128955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60383"/>
        <c:crosses val="autoZero"/>
        <c:auto val="1"/>
        <c:lblAlgn val="ctr"/>
        <c:lblOffset val="100"/>
        <c:noMultiLvlLbl val="0"/>
      </c:catAx>
      <c:valAx>
        <c:axId val="128956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41DF2BC-6A6B-4AB3-846A-1A8320D9B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 x14ac:dyDescent="0.45"/>
  <cols>
    <col min="1" max="1" width="13.6640625" customWidth="1"/>
    <col min="2" max="2" width="13.08203125" bestFit="1" customWidth="1"/>
    <col min="3" max="3" width="14.33203125" bestFit="1" customWidth="1"/>
    <col min="4" max="4" width="9.1640625" customWidth="1"/>
  </cols>
  <sheetData>
    <row r="1" spans="1:1" x14ac:dyDescent="0.45">
      <c r="A1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21D8C-0BB4-49B5-ACAD-43339A0F5B3A}">
  <dimension ref="A1:G11"/>
  <sheetViews>
    <sheetView workbookViewId="0"/>
  </sheetViews>
  <sheetFormatPr defaultRowHeight="17" x14ac:dyDescent="0.45"/>
  <cols>
    <col min="2" max="2" width="10.1640625" customWidth="1"/>
    <col min="3" max="3" width="26.33203125" bestFit="1" customWidth="1"/>
    <col min="4" max="4" width="14.33203125" bestFit="1" customWidth="1"/>
    <col min="5" max="5" width="10.58203125" customWidth="1"/>
    <col min="6" max="6" width="11.33203125" bestFit="1" customWidth="1"/>
    <col min="7" max="7" width="12.75" bestFit="1" customWidth="1"/>
  </cols>
  <sheetData>
    <row r="1" spans="1:7" x14ac:dyDescent="0.45">
      <c r="A1" t="s">
        <v>43</v>
      </c>
    </row>
    <row r="3" spans="1:7" x14ac:dyDescent="0.45">
      <c r="A3" t="s">
        <v>2</v>
      </c>
      <c r="B3" t="s">
        <v>44</v>
      </c>
      <c r="C3" t="s">
        <v>45</v>
      </c>
      <c r="D3" t="s">
        <v>46</v>
      </c>
      <c r="E3" t="s">
        <v>85</v>
      </c>
      <c r="F3" t="s">
        <v>47</v>
      </c>
      <c r="G3" t="s">
        <v>48</v>
      </c>
    </row>
    <row r="4" spans="1:7" x14ac:dyDescent="0.45">
      <c r="A4" t="s">
        <v>24</v>
      </c>
      <c r="B4" t="s">
        <v>49</v>
      </c>
      <c r="C4" t="s">
        <v>50</v>
      </c>
      <c r="D4" t="s">
        <v>51</v>
      </c>
      <c r="E4">
        <v>30</v>
      </c>
      <c r="F4" t="s">
        <v>52</v>
      </c>
      <c r="G4" t="s">
        <v>53</v>
      </c>
    </row>
    <row r="5" spans="1:7" x14ac:dyDescent="0.45">
      <c r="B5" t="s">
        <v>49</v>
      </c>
      <c r="C5" t="s">
        <v>54</v>
      </c>
      <c r="D5" t="s">
        <v>51</v>
      </c>
      <c r="E5">
        <v>45</v>
      </c>
      <c r="F5" t="s">
        <v>55</v>
      </c>
      <c r="G5" t="s">
        <v>56</v>
      </c>
    </row>
    <row r="6" spans="1:7" x14ac:dyDescent="0.45">
      <c r="B6" t="s">
        <v>57</v>
      </c>
      <c r="C6" t="s">
        <v>58</v>
      </c>
      <c r="D6" t="s">
        <v>59</v>
      </c>
      <c r="E6">
        <v>20</v>
      </c>
      <c r="F6" t="s">
        <v>60</v>
      </c>
      <c r="G6" t="s">
        <v>61</v>
      </c>
    </row>
    <row r="7" spans="1:7" x14ac:dyDescent="0.45">
      <c r="A7" t="s">
        <v>62</v>
      </c>
      <c r="B7" t="s">
        <v>63</v>
      </c>
      <c r="C7" t="s">
        <v>64</v>
      </c>
      <c r="D7" t="s">
        <v>65</v>
      </c>
      <c r="E7">
        <v>50</v>
      </c>
      <c r="F7" t="s">
        <v>66</v>
      </c>
      <c r="G7" t="s">
        <v>67</v>
      </c>
    </row>
    <row r="8" spans="1:7" x14ac:dyDescent="0.45">
      <c r="B8" t="s">
        <v>63</v>
      </c>
      <c r="C8" t="s">
        <v>68</v>
      </c>
      <c r="D8" t="s">
        <v>69</v>
      </c>
      <c r="E8">
        <v>31</v>
      </c>
      <c r="F8" t="s">
        <v>70</v>
      </c>
      <c r="G8" t="s">
        <v>71</v>
      </c>
    </row>
    <row r="9" spans="1:7" x14ac:dyDescent="0.45">
      <c r="A9" t="s">
        <v>24</v>
      </c>
      <c r="B9" t="s">
        <v>72</v>
      </c>
      <c r="C9" t="s">
        <v>73</v>
      </c>
      <c r="D9" t="s">
        <v>74</v>
      </c>
      <c r="E9">
        <v>18</v>
      </c>
      <c r="F9" t="s">
        <v>75</v>
      </c>
      <c r="G9" t="s">
        <v>76</v>
      </c>
    </row>
    <row r="10" spans="1:7" x14ac:dyDescent="0.45">
      <c r="B10" t="s">
        <v>72</v>
      </c>
      <c r="C10" t="s">
        <v>77</v>
      </c>
      <c r="D10" t="s">
        <v>78</v>
      </c>
      <c r="E10">
        <v>27</v>
      </c>
      <c r="F10" t="s">
        <v>79</v>
      </c>
      <c r="G10" t="s">
        <v>80</v>
      </c>
    </row>
    <row r="11" spans="1:7" x14ac:dyDescent="0.45">
      <c r="B11" t="s">
        <v>81</v>
      </c>
      <c r="C11" t="s">
        <v>82</v>
      </c>
      <c r="D11" t="s">
        <v>83</v>
      </c>
      <c r="E11">
        <v>21</v>
      </c>
      <c r="F11" t="s">
        <v>84</v>
      </c>
      <c r="G11" t="s">
        <v>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4"/>
  <sheetViews>
    <sheetView workbookViewId="0"/>
  </sheetViews>
  <sheetFormatPr defaultRowHeight="17" x14ac:dyDescent="0.45"/>
  <cols>
    <col min="3" max="3" width="11.6640625" bestFit="1" customWidth="1"/>
    <col min="5" max="5" width="10.58203125" bestFit="1" customWidth="1"/>
    <col min="6" max="7" width="11.6640625" bestFit="1" customWidth="1"/>
  </cols>
  <sheetData>
    <row r="1" spans="1:7" x14ac:dyDescent="0.45">
      <c r="A1" t="s">
        <v>1</v>
      </c>
    </row>
    <row r="3" spans="1:7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45">
      <c r="A4" s="1" t="s">
        <v>9</v>
      </c>
      <c r="B4" s="1" t="s">
        <v>31</v>
      </c>
      <c r="C4" s="2">
        <v>45000000</v>
      </c>
      <c r="D4" s="1" t="s">
        <v>10</v>
      </c>
      <c r="E4" s="2">
        <v>3600000</v>
      </c>
      <c r="F4" s="2">
        <v>30000000</v>
      </c>
      <c r="G4" s="2">
        <v>11400000</v>
      </c>
    </row>
    <row r="5" spans="1:7" x14ac:dyDescent="0.45">
      <c r="A5" s="1" t="s">
        <v>11</v>
      </c>
      <c r="B5" s="1" t="s">
        <v>12</v>
      </c>
      <c r="C5" s="2">
        <v>34000000</v>
      </c>
      <c r="D5" s="1" t="s">
        <v>10</v>
      </c>
      <c r="E5" s="2">
        <v>2700000</v>
      </c>
      <c r="F5" s="2">
        <v>30000000</v>
      </c>
      <c r="G5" s="2">
        <v>1300000</v>
      </c>
    </row>
    <row r="6" spans="1:7" x14ac:dyDescent="0.45">
      <c r="A6" s="1" t="s">
        <v>13</v>
      </c>
      <c r="B6" s="1" t="s">
        <v>14</v>
      </c>
      <c r="C6" s="2">
        <v>49800000</v>
      </c>
      <c r="D6" s="1" t="s">
        <v>10</v>
      </c>
      <c r="E6" s="2">
        <v>3900000</v>
      </c>
      <c r="F6" s="2">
        <v>45000000</v>
      </c>
      <c r="G6" s="2">
        <v>900000</v>
      </c>
    </row>
    <row r="7" spans="1:7" x14ac:dyDescent="0.45">
      <c r="A7" s="1" t="s">
        <v>15</v>
      </c>
      <c r="B7" s="1" t="s">
        <v>16</v>
      </c>
      <c r="C7" s="2">
        <v>28600000</v>
      </c>
      <c r="D7" s="1" t="s">
        <v>10</v>
      </c>
      <c r="E7" s="2">
        <v>2200000</v>
      </c>
      <c r="F7" s="2">
        <v>25000000</v>
      </c>
      <c r="G7" s="2">
        <v>1400000</v>
      </c>
    </row>
    <row r="8" spans="1:7" x14ac:dyDescent="0.45">
      <c r="A8" s="1" t="s">
        <v>17</v>
      </c>
      <c r="B8" s="1" t="s">
        <v>18</v>
      </c>
      <c r="C8" s="2">
        <v>36800000</v>
      </c>
      <c r="D8" s="1" t="s">
        <v>10</v>
      </c>
      <c r="E8" s="2">
        <v>2900000</v>
      </c>
      <c r="F8" s="2">
        <v>30000000</v>
      </c>
      <c r="G8" s="2">
        <v>3900000</v>
      </c>
    </row>
    <row r="9" spans="1:7" x14ac:dyDescent="0.45">
      <c r="A9" s="1" t="s">
        <v>19</v>
      </c>
      <c r="B9" s="1" t="s">
        <v>20</v>
      </c>
      <c r="C9" s="2">
        <v>54500000</v>
      </c>
      <c r="D9" s="1" t="s">
        <v>10</v>
      </c>
      <c r="E9" s="2">
        <v>4300000</v>
      </c>
      <c r="F9" s="2">
        <v>50000000</v>
      </c>
      <c r="G9" s="2">
        <v>200000</v>
      </c>
    </row>
    <row r="10" spans="1:7" x14ac:dyDescent="0.45">
      <c r="A10" s="1" t="s">
        <v>21</v>
      </c>
      <c r="B10" s="1" t="s">
        <v>22</v>
      </c>
      <c r="C10" s="2">
        <v>28000000</v>
      </c>
      <c r="D10" s="1" t="s">
        <v>10</v>
      </c>
      <c r="E10" s="2">
        <v>2200000</v>
      </c>
      <c r="F10" s="2">
        <v>20000000</v>
      </c>
      <c r="G10" s="2">
        <v>5800000</v>
      </c>
    </row>
    <row r="11" spans="1:7" x14ac:dyDescent="0.45">
      <c r="A11" s="1" t="s">
        <v>23</v>
      </c>
      <c r="B11" s="1" t="s">
        <v>32</v>
      </c>
      <c r="C11" s="2">
        <v>38500000</v>
      </c>
      <c r="D11" s="1" t="s">
        <v>10</v>
      </c>
      <c r="E11" s="2">
        <v>3000000</v>
      </c>
      <c r="F11" s="2">
        <v>33000000</v>
      </c>
      <c r="G11" s="2">
        <v>2500000</v>
      </c>
    </row>
    <row r="12" spans="1:7" x14ac:dyDescent="0.45">
      <c r="A12" s="1" t="s">
        <v>24</v>
      </c>
      <c r="B12" s="1" t="s">
        <v>25</v>
      </c>
      <c r="C12" s="2">
        <v>50000000</v>
      </c>
      <c r="D12" s="1" t="s">
        <v>26</v>
      </c>
      <c r="E12" s="2">
        <v>1500000</v>
      </c>
      <c r="F12" s="2">
        <v>45000000</v>
      </c>
      <c r="G12" s="2">
        <v>3500000</v>
      </c>
    </row>
    <row r="13" spans="1:7" x14ac:dyDescent="0.45">
      <c r="A13" s="1" t="s">
        <v>27</v>
      </c>
      <c r="B13" s="1" t="s">
        <v>28</v>
      </c>
      <c r="C13" s="2">
        <v>52000000</v>
      </c>
      <c r="D13" s="1" t="s">
        <v>26</v>
      </c>
      <c r="E13" s="2">
        <v>1500000</v>
      </c>
      <c r="F13" s="2">
        <v>40000000</v>
      </c>
      <c r="G13" s="2">
        <v>10500000</v>
      </c>
    </row>
    <row r="14" spans="1:7" x14ac:dyDescent="0.45">
      <c r="A14" s="1" t="s">
        <v>29</v>
      </c>
      <c r="B14" s="1" t="s">
        <v>30</v>
      </c>
      <c r="C14" s="2">
        <v>46800000</v>
      </c>
      <c r="D14" s="1" t="s">
        <v>26</v>
      </c>
      <c r="E14" s="2">
        <v>1400000</v>
      </c>
      <c r="F14" s="2">
        <v>42000000</v>
      </c>
      <c r="G14" s="2">
        <v>3400000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6"/>
  <sheetViews>
    <sheetView workbookViewId="0"/>
  </sheetViews>
  <sheetFormatPr defaultRowHeight="17" x14ac:dyDescent="0.45"/>
  <cols>
    <col min="9" max="9" width="2.58203125" customWidth="1"/>
    <col min="10" max="12" width="10.58203125" customWidth="1"/>
  </cols>
  <sheetData>
    <row r="1" spans="1:12" x14ac:dyDescent="0.45">
      <c r="A1" t="s">
        <v>108</v>
      </c>
    </row>
    <row r="2" spans="1:12" x14ac:dyDescent="0.45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1" t="s">
        <v>135</v>
      </c>
      <c r="H2" s="11" t="s">
        <v>136</v>
      </c>
      <c r="J2" s="15" t="s">
        <v>137</v>
      </c>
      <c r="K2" s="15"/>
      <c r="L2" s="15"/>
    </row>
    <row r="3" spans="1:12" x14ac:dyDescent="0.45">
      <c r="A3" s="1" t="s">
        <v>138</v>
      </c>
      <c r="B3" s="1" t="s">
        <v>139</v>
      </c>
      <c r="C3" s="1" t="s">
        <v>140</v>
      </c>
      <c r="D3" s="1">
        <v>13</v>
      </c>
      <c r="E3" s="1">
        <v>87</v>
      </c>
      <c r="F3" s="12">
        <v>0.35439814814814818</v>
      </c>
      <c r="G3" s="1"/>
      <c r="H3" s="4"/>
      <c r="J3" s="14"/>
      <c r="K3" s="14"/>
      <c r="L3" s="14"/>
    </row>
    <row r="4" spans="1:12" x14ac:dyDescent="0.45">
      <c r="A4" s="1" t="s">
        <v>141</v>
      </c>
      <c r="B4" s="1" t="s">
        <v>142</v>
      </c>
      <c r="C4" s="1" t="s">
        <v>143</v>
      </c>
      <c r="D4" s="1">
        <v>5</v>
      </c>
      <c r="E4" s="1">
        <v>94</v>
      </c>
      <c r="F4" s="12">
        <v>0.36498842592592595</v>
      </c>
      <c r="G4" s="1"/>
      <c r="H4" s="4"/>
    </row>
    <row r="5" spans="1:12" x14ac:dyDescent="0.45">
      <c r="A5" s="1" t="s">
        <v>144</v>
      </c>
      <c r="B5" s="1" t="s">
        <v>145</v>
      </c>
      <c r="C5" s="1" t="s">
        <v>140</v>
      </c>
      <c r="D5" s="1">
        <v>3</v>
      </c>
      <c r="E5" s="1">
        <v>78</v>
      </c>
      <c r="F5" s="12">
        <v>0.33288194444444447</v>
      </c>
      <c r="G5" s="1"/>
      <c r="H5" s="4"/>
      <c r="J5" s="15" t="s">
        <v>146</v>
      </c>
      <c r="K5" s="15"/>
      <c r="L5" s="15"/>
    </row>
    <row r="6" spans="1:12" x14ac:dyDescent="0.45">
      <c r="A6" s="1" t="s">
        <v>147</v>
      </c>
      <c r="B6" s="1" t="s">
        <v>148</v>
      </c>
      <c r="C6" s="1" t="s">
        <v>143</v>
      </c>
      <c r="D6" s="1">
        <v>8</v>
      </c>
      <c r="E6" s="1">
        <v>84</v>
      </c>
      <c r="F6" s="12">
        <v>0.34923611111111108</v>
      </c>
      <c r="G6" s="1"/>
      <c r="H6" s="4"/>
      <c r="J6" s="16"/>
      <c r="K6" s="16"/>
      <c r="L6" s="16"/>
    </row>
    <row r="7" spans="1:12" x14ac:dyDescent="0.45">
      <c r="A7" s="1" t="s">
        <v>149</v>
      </c>
      <c r="B7" s="1" t="s">
        <v>150</v>
      </c>
      <c r="C7" s="1" t="s">
        <v>151</v>
      </c>
      <c r="D7" s="1">
        <v>12</v>
      </c>
      <c r="E7" s="1">
        <v>78</v>
      </c>
      <c r="F7" s="12">
        <v>0.32332175925925927</v>
      </c>
      <c r="G7" s="1"/>
      <c r="H7" s="4"/>
    </row>
    <row r="8" spans="1:12" x14ac:dyDescent="0.45">
      <c r="A8" s="1" t="s">
        <v>152</v>
      </c>
      <c r="B8" s="1" t="s">
        <v>153</v>
      </c>
      <c r="C8" s="1" t="s">
        <v>151</v>
      </c>
      <c r="D8" s="1">
        <v>16</v>
      </c>
      <c r="E8" s="1">
        <v>91</v>
      </c>
      <c r="F8" s="12">
        <v>0.3374537037037037</v>
      </c>
      <c r="G8" s="1"/>
      <c r="H8" s="4"/>
      <c r="J8" s="15" t="s">
        <v>168</v>
      </c>
      <c r="K8" s="15"/>
      <c r="L8" s="15"/>
    </row>
    <row r="9" spans="1:12" x14ac:dyDescent="0.45">
      <c r="A9" s="1" t="s">
        <v>154</v>
      </c>
      <c r="B9" s="1" t="s">
        <v>155</v>
      </c>
      <c r="C9" s="1" t="s">
        <v>140</v>
      </c>
      <c r="D9" s="1">
        <v>7</v>
      </c>
      <c r="E9" s="1">
        <v>82</v>
      </c>
      <c r="F9" s="12">
        <v>0.34210648148148143</v>
      </c>
      <c r="G9" s="1"/>
      <c r="H9" s="4"/>
      <c r="J9" s="14"/>
      <c r="K9" s="14"/>
      <c r="L9" s="14"/>
    </row>
    <row r="10" spans="1:12" x14ac:dyDescent="0.45">
      <c r="A10" s="1" t="s">
        <v>156</v>
      </c>
      <c r="B10" s="1" t="s">
        <v>157</v>
      </c>
      <c r="C10" s="1" t="s">
        <v>143</v>
      </c>
      <c r="D10" s="1">
        <v>20</v>
      </c>
      <c r="E10" s="1">
        <v>79</v>
      </c>
      <c r="F10" s="12">
        <v>0.37164351851851851</v>
      </c>
      <c r="G10" s="1"/>
      <c r="H10" s="4"/>
    </row>
    <row r="11" spans="1:12" x14ac:dyDescent="0.45">
      <c r="A11" s="1" t="s">
        <v>166</v>
      </c>
      <c r="B11" s="1" t="s">
        <v>167</v>
      </c>
      <c r="C11" s="1" t="s">
        <v>140</v>
      </c>
      <c r="D11" s="1">
        <v>18</v>
      </c>
      <c r="E11" s="1">
        <v>82</v>
      </c>
      <c r="F11" s="12">
        <v>0.33709490740740744</v>
      </c>
      <c r="G11" s="1"/>
      <c r="H11" s="4"/>
    </row>
    <row r="12" spans="1:12" x14ac:dyDescent="0.45">
      <c r="A12" s="1" t="s">
        <v>158</v>
      </c>
      <c r="B12" s="1" t="s">
        <v>159</v>
      </c>
      <c r="C12" s="1" t="s">
        <v>140</v>
      </c>
      <c r="D12" s="1">
        <v>2</v>
      </c>
      <c r="E12" s="1">
        <v>95</v>
      </c>
      <c r="F12" s="12">
        <v>0.32743055555555556</v>
      </c>
      <c r="G12" s="1"/>
      <c r="H12" s="4"/>
    </row>
    <row r="14" spans="1:12" x14ac:dyDescent="0.45">
      <c r="A14" t="s">
        <v>160</v>
      </c>
      <c r="F14" t="s">
        <v>161</v>
      </c>
    </row>
    <row r="15" spans="1:12" x14ac:dyDescent="0.45">
      <c r="A15" s="1" t="s">
        <v>162</v>
      </c>
      <c r="B15" s="1" t="s">
        <v>163</v>
      </c>
      <c r="C15" s="1" t="s">
        <v>164</v>
      </c>
      <c r="D15" s="1" t="s">
        <v>165</v>
      </c>
      <c r="F15" s="1"/>
      <c r="G15" s="1"/>
    </row>
    <row r="16" spans="1:12" x14ac:dyDescent="0.45">
      <c r="A16" s="1" t="s">
        <v>2</v>
      </c>
      <c r="B16" s="1" t="s">
        <v>24</v>
      </c>
      <c r="C16" s="1" t="s">
        <v>62</v>
      </c>
      <c r="D16" s="1" t="s">
        <v>9</v>
      </c>
      <c r="F16" s="1"/>
      <c r="G16" s="1"/>
    </row>
  </sheetData>
  <mergeCells count="6">
    <mergeCell ref="J9:L9"/>
    <mergeCell ref="J2:L2"/>
    <mergeCell ref="J3:L3"/>
    <mergeCell ref="J5:L5"/>
    <mergeCell ref="J6:L6"/>
    <mergeCell ref="J8:L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9"/>
  <sheetViews>
    <sheetView workbookViewId="0"/>
  </sheetViews>
  <sheetFormatPr defaultRowHeight="17" x14ac:dyDescent="0.45"/>
  <cols>
    <col min="1" max="1" width="9.5" bestFit="1" customWidth="1"/>
    <col min="2" max="2" width="10.4140625" bestFit="1" customWidth="1"/>
    <col min="3" max="3" width="11.6640625" bestFit="1" customWidth="1"/>
    <col min="4" max="4" width="10.58203125" bestFit="1" customWidth="1"/>
    <col min="5" max="5" width="11.6640625" bestFit="1" customWidth="1"/>
  </cols>
  <sheetData>
    <row r="1" spans="1:5" ht="21" x14ac:dyDescent="0.45">
      <c r="A1" s="17" t="s">
        <v>33</v>
      </c>
      <c r="B1" s="17"/>
      <c r="C1" s="17"/>
      <c r="D1" s="17"/>
      <c r="E1" s="17"/>
    </row>
    <row r="3" spans="1:5" x14ac:dyDescent="0.45">
      <c r="A3" s="1" t="s">
        <v>34</v>
      </c>
      <c r="B3" s="1" t="s">
        <v>35</v>
      </c>
      <c r="C3" s="1" t="s">
        <v>36</v>
      </c>
      <c r="D3" s="1" t="s">
        <v>6</v>
      </c>
      <c r="E3" s="1" t="s">
        <v>37</v>
      </c>
    </row>
    <row r="4" spans="1:5" x14ac:dyDescent="0.45">
      <c r="A4" s="3">
        <v>45901</v>
      </c>
      <c r="B4" s="1" t="s">
        <v>38</v>
      </c>
      <c r="C4" s="4">
        <v>11250000</v>
      </c>
      <c r="D4" s="4">
        <v>1350000</v>
      </c>
      <c r="E4" s="4">
        <v>9900000</v>
      </c>
    </row>
    <row r="5" spans="1:5" x14ac:dyDescent="0.45">
      <c r="A5" s="3">
        <v>45902</v>
      </c>
      <c r="B5" s="1" t="s">
        <v>39</v>
      </c>
      <c r="C5" s="4">
        <v>14360000</v>
      </c>
      <c r="D5" s="4">
        <v>1720000</v>
      </c>
      <c r="E5" s="4">
        <v>12640000</v>
      </c>
    </row>
    <row r="6" spans="1:5" x14ac:dyDescent="0.45">
      <c r="A6" s="3">
        <v>45903</v>
      </c>
      <c r="B6" s="1" t="s">
        <v>40</v>
      </c>
      <c r="C6" s="4">
        <v>12990000</v>
      </c>
      <c r="D6" s="4">
        <v>1550000</v>
      </c>
      <c r="E6" s="4">
        <v>11440000</v>
      </c>
    </row>
    <row r="7" spans="1:5" x14ac:dyDescent="0.45">
      <c r="A7" s="3">
        <v>45907</v>
      </c>
      <c r="B7" s="1" t="s">
        <v>40</v>
      </c>
      <c r="C7" s="4">
        <v>15000000</v>
      </c>
      <c r="D7" s="4">
        <v>1800000</v>
      </c>
      <c r="E7" s="4">
        <v>13200000</v>
      </c>
    </row>
    <row r="8" spans="1:5" x14ac:dyDescent="0.45">
      <c r="A8" s="3">
        <v>45908</v>
      </c>
      <c r="B8" s="1" t="s">
        <v>38</v>
      </c>
      <c r="C8" s="4">
        <v>12400000</v>
      </c>
      <c r="D8" s="4">
        <v>1480000</v>
      </c>
      <c r="E8" s="4">
        <v>10920000</v>
      </c>
    </row>
    <row r="9" spans="1:5" x14ac:dyDescent="0.45">
      <c r="A9" s="3">
        <v>45911</v>
      </c>
      <c r="B9" s="1" t="s">
        <v>38</v>
      </c>
      <c r="C9" s="4">
        <v>13950000</v>
      </c>
      <c r="D9" s="4">
        <v>1670000</v>
      </c>
      <c r="E9" s="4">
        <v>12280000</v>
      </c>
    </row>
    <row r="10" spans="1:5" x14ac:dyDescent="0.45">
      <c r="A10" s="3">
        <v>45912</v>
      </c>
      <c r="B10" s="1" t="s">
        <v>40</v>
      </c>
      <c r="C10" s="4">
        <v>16040000</v>
      </c>
      <c r="D10" s="4">
        <v>1920000</v>
      </c>
      <c r="E10" s="4">
        <v>14120000</v>
      </c>
    </row>
    <row r="11" spans="1:5" x14ac:dyDescent="0.45">
      <c r="A11" s="3">
        <v>45913</v>
      </c>
      <c r="B11" s="1" t="s">
        <v>39</v>
      </c>
      <c r="C11" s="4">
        <v>13300000</v>
      </c>
      <c r="D11" s="4">
        <v>1590000</v>
      </c>
      <c r="E11" s="4">
        <v>11710000</v>
      </c>
    </row>
    <row r="12" spans="1:5" x14ac:dyDescent="0.45">
      <c r="A12" s="3">
        <v>45914</v>
      </c>
      <c r="B12" s="1" t="s">
        <v>38</v>
      </c>
      <c r="C12" s="4">
        <v>14420000</v>
      </c>
      <c r="D12" s="4">
        <v>1730000</v>
      </c>
      <c r="E12" s="4">
        <v>12690000</v>
      </c>
    </row>
    <row r="13" spans="1:5" x14ac:dyDescent="0.45">
      <c r="A13" s="3">
        <v>45915</v>
      </c>
      <c r="B13" s="1" t="s">
        <v>40</v>
      </c>
      <c r="C13" s="4">
        <v>13680000</v>
      </c>
      <c r="D13" s="4">
        <v>1640000</v>
      </c>
      <c r="E13" s="4">
        <v>12040000</v>
      </c>
    </row>
    <row r="14" spans="1:5" x14ac:dyDescent="0.45">
      <c r="A14" s="3">
        <v>45916</v>
      </c>
      <c r="B14" s="1" t="s">
        <v>39</v>
      </c>
      <c r="C14" s="4">
        <v>15550000</v>
      </c>
      <c r="D14" s="4">
        <v>1860000</v>
      </c>
      <c r="E14" s="4">
        <v>13690000</v>
      </c>
    </row>
    <row r="15" spans="1:5" x14ac:dyDescent="0.45">
      <c r="A15" s="3">
        <v>45919</v>
      </c>
      <c r="B15" s="1" t="s">
        <v>39</v>
      </c>
      <c r="C15" s="4">
        <v>11990000</v>
      </c>
      <c r="D15" s="4">
        <v>1430000</v>
      </c>
      <c r="E15" s="4">
        <v>10560000</v>
      </c>
    </row>
    <row r="16" spans="1:5" x14ac:dyDescent="0.45">
      <c r="A16" s="3">
        <v>45920</v>
      </c>
      <c r="B16" s="1" t="s">
        <v>40</v>
      </c>
      <c r="C16" s="4">
        <v>13000000</v>
      </c>
      <c r="D16" s="4">
        <v>1560000</v>
      </c>
      <c r="E16" s="4">
        <v>11440000</v>
      </c>
    </row>
    <row r="17" spans="1:5" x14ac:dyDescent="0.45">
      <c r="A17" s="3">
        <v>45922</v>
      </c>
      <c r="B17" s="1" t="s">
        <v>38</v>
      </c>
      <c r="C17" s="4">
        <v>14780000</v>
      </c>
      <c r="D17" s="4">
        <v>1770000</v>
      </c>
      <c r="E17" s="4">
        <v>13010000</v>
      </c>
    </row>
    <row r="18" spans="1:5" x14ac:dyDescent="0.45">
      <c r="A18" s="3">
        <v>44462</v>
      </c>
      <c r="B18" s="1" t="s">
        <v>41</v>
      </c>
      <c r="C18" s="4">
        <v>13580000</v>
      </c>
      <c r="D18" s="4">
        <v>1100000</v>
      </c>
      <c r="E18" s="4">
        <v>12480000</v>
      </c>
    </row>
    <row r="19" spans="1:5" x14ac:dyDescent="0.45">
      <c r="A19" s="3">
        <v>44464</v>
      </c>
      <c r="B19" s="1" t="s">
        <v>42</v>
      </c>
      <c r="C19" s="4">
        <v>15970000</v>
      </c>
      <c r="D19" s="4">
        <v>1250000</v>
      </c>
      <c r="E19" s="4">
        <v>14720000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89CD-947B-461E-94C1-4CF31A111991}">
  <dimension ref="A1:L19"/>
  <sheetViews>
    <sheetView workbookViewId="0"/>
  </sheetViews>
  <sheetFormatPr defaultRowHeight="17" x14ac:dyDescent="0.45"/>
  <cols>
    <col min="7" max="7" width="2.58203125" customWidth="1"/>
  </cols>
  <sheetData>
    <row r="1" spans="1:12" x14ac:dyDescent="0.45">
      <c r="A1" t="s">
        <v>108</v>
      </c>
      <c r="B1" s="8" t="s">
        <v>169</v>
      </c>
      <c r="C1" s="8"/>
      <c r="H1" t="s">
        <v>124</v>
      </c>
      <c r="I1" s="8" t="s">
        <v>128</v>
      </c>
    </row>
    <row r="2" spans="1:12" x14ac:dyDescent="0.45">
      <c r="A2" s="13" t="s">
        <v>170</v>
      </c>
      <c r="B2" s="13" t="s">
        <v>115</v>
      </c>
      <c r="C2" s="13" t="s">
        <v>116</v>
      </c>
      <c r="D2" s="13" t="s">
        <v>117</v>
      </c>
      <c r="E2" s="13" t="s">
        <v>118</v>
      </c>
      <c r="F2" s="13" t="s">
        <v>119</v>
      </c>
      <c r="H2" s="13" t="s">
        <v>115</v>
      </c>
      <c r="I2" s="13" t="s">
        <v>116</v>
      </c>
      <c r="J2" s="13" t="s">
        <v>117</v>
      </c>
      <c r="K2" s="13" t="s">
        <v>118</v>
      </c>
      <c r="L2" s="13" t="s">
        <v>119</v>
      </c>
    </row>
    <row r="3" spans="1:12" x14ac:dyDescent="0.45">
      <c r="A3" s="14" t="s">
        <v>127</v>
      </c>
      <c r="B3" s="13" t="s">
        <v>110</v>
      </c>
      <c r="C3" s="4">
        <v>300</v>
      </c>
      <c r="D3" s="4">
        <v>250</v>
      </c>
      <c r="E3" s="4">
        <v>280</v>
      </c>
      <c r="F3" s="4">
        <v>210</v>
      </c>
      <c r="H3" s="13" t="s">
        <v>109</v>
      </c>
      <c r="I3" s="10"/>
      <c r="J3" s="10"/>
      <c r="K3" s="10"/>
      <c r="L3" s="10"/>
    </row>
    <row r="4" spans="1:12" x14ac:dyDescent="0.45">
      <c r="A4" s="14"/>
      <c r="B4" s="13" t="s">
        <v>112</v>
      </c>
      <c r="C4" s="4">
        <v>150</v>
      </c>
      <c r="D4" s="4">
        <v>180</v>
      </c>
      <c r="E4" s="4">
        <v>190</v>
      </c>
      <c r="F4" s="4">
        <v>175</v>
      </c>
      <c r="H4" s="13" t="s">
        <v>111</v>
      </c>
      <c r="I4" s="10"/>
      <c r="J4" s="10"/>
      <c r="K4" s="10"/>
      <c r="L4" s="10"/>
    </row>
    <row r="5" spans="1:12" x14ac:dyDescent="0.45">
      <c r="A5" s="14"/>
      <c r="B5" s="13" t="s">
        <v>114</v>
      </c>
      <c r="C5" s="4">
        <v>250</v>
      </c>
      <c r="D5" s="4">
        <v>130</v>
      </c>
      <c r="E5" s="4">
        <v>150</v>
      </c>
      <c r="F5" s="4">
        <v>115</v>
      </c>
      <c r="H5" s="13" t="s">
        <v>113</v>
      </c>
      <c r="I5" s="10"/>
      <c r="J5" s="10"/>
      <c r="K5" s="10"/>
      <c r="L5" s="10"/>
    </row>
    <row r="6" spans="1:12" x14ac:dyDescent="0.45">
      <c r="A6" s="14"/>
      <c r="B6" s="13" t="s">
        <v>121</v>
      </c>
      <c r="C6" s="4">
        <v>100</v>
      </c>
      <c r="D6" s="4">
        <v>110</v>
      </c>
      <c r="E6" s="4">
        <v>90</v>
      </c>
      <c r="F6" s="4">
        <v>85</v>
      </c>
      <c r="H6" s="13" t="s">
        <v>120</v>
      </c>
      <c r="I6" s="10"/>
      <c r="J6" s="10"/>
      <c r="K6" s="10"/>
      <c r="L6" s="10"/>
    </row>
    <row r="7" spans="1:12" x14ac:dyDescent="0.45">
      <c r="A7" s="14"/>
      <c r="B7" s="13" t="s">
        <v>123</v>
      </c>
      <c r="C7" s="7">
        <v>140</v>
      </c>
      <c r="D7" s="7">
        <v>90</v>
      </c>
      <c r="E7" s="7">
        <v>130</v>
      </c>
      <c r="F7" s="7">
        <v>75</v>
      </c>
      <c r="H7" s="13" t="s">
        <v>122</v>
      </c>
      <c r="I7" s="10"/>
      <c r="J7" s="10"/>
      <c r="K7" s="10"/>
      <c r="L7" s="10"/>
    </row>
    <row r="8" spans="1:12" x14ac:dyDescent="0.45">
      <c r="A8" s="14" t="s">
        <v>126</v>
      </c>
      <c r="B8" s="13" t="s">
        <v>110</v>
      </c>
      <c r="C8" s="4">
        <v>220</v>
      </c>
      <c r="D8" s="4">
        <v>160</v>
      </c>
      <c r="E8" s="4">
        <v>174</v>
      </c>
      <c r="F8" s="4">
        <v>140</v>
      </c>
    </row>
    <row r="9" spans="1:12" x14ac:dyDescent="0.45">
      <c r="A9" s="14"/>
      <c r="B9" s="13" t="s">
        <v>123</v>
      </c>
      <c r="C9" s="4">
        <v>100</v>
      </c>
      <c r="D9" s="4">
        <v>95</v>
      </c>
      <c r="E9" s="4">
        <v>67</v>
      </c>
      <c r="F9" s="4">
        <v>97</v>
      </c>
    </row>
    <row r="10" spans="1:12" x14ac:dyDescent="0.45">
      <c r="A10" s="14"/>
      <c r="B10" s="13" t="s">
        <v>114</v>
      </c>
      <c r="C10" s="4">
        <v>90</v>
      </c>
      <c r="D10" s="4">
        <v>76</v>
      </c>
      <c r="E10" s="4">
        <v>84</v>
      </c>
      <c r="F10" s="4">
        <v>74</v>
      </c>
    </row>
    <row r="11" spans="1:12" x14ac:dyDescent="0.45">
      <c r="A11" s="14"/>
      <c r="B11" s="13" t="s">
        <v>121</v>
      </c>
      <c r="C11" s="4">
        <v>75</v>
      </c>
      <c r="D11" s="4">
        <v>65</v>
      </c>
      <c r="E11" s="4">
        <v>43</v>
      </c>
      <c r="F11" s="4">
        <v>64</v>
      </c>
    </row>
    <row r="12" spans="1:12" x14ac:dyDescent="0.45">
      <c r="A12" s="14"/>
      <c r="B12" s="13" t="s">
        <v>112</v>
      </c>
      <c r="C12" s="7">
        <v>180</v>
      </c>
      <c r="D12" s="7">
        <v>234</v>
      </c>
      <c r="E12" s="7">
        <v>196</v>
      </c>
      <c r="F12" s="7">
        <v>222</v>
      </c>
    </row>
    <row r="13" spans="1:12" x14ac:dyDescent="0.45">
      <c r="A13" s="14" t="s">
        <v>125</v>
      </c>
      <c r="B13" s="13" t="s">
        <v>114</v>
      </c>
      <c r="C13" s="4">
        <v>90</v>
      </c>
      <c r="D13" s="4">
        <v>105</v>
      </c>
      <c r="E13" s="4">
        <v>110</v>
      </c>
      <c r="F13" s="4">
        <v>140</v>
      </c>
    </row>
    <row r="14" spans="1:12" x14ac:dyDescent="0.45">
      <c r="A14" s="14"/>
      <c r="B14" s="13" t="s">
        <v>123</v>
      </c>
      <c r="C14" s="7">
        <v>75</v>
      </c>
      <c r="D14" s="7">
        <v>85</v>
      </c>
      <c r="E14" s="7">
        <v>93</v>
      </c>
      <c r="F14" s="7">
        <v>50</v>
      </c>
    </row>
    <row r="15" spans="1:12" x14ac:dyDescent="0.45">
      <c r="A15" s="14"/>
      <c r="B15" s="13" t="s">
        <v>112</v>
      </c>
      <c r="C15" s="7">
        <v>120</v>
      </c>
      <c r="D15" s="7">
        <v>150</v>
      </c>
      <c r="E15" s="7">
        <v>130</v>
      </c>
      <c r="F15" s="7">
        <v>290</v>
      </c>
    </row>
    <row r="16" spans="1:12" x14ac:dyDescent="0.45">
      <c r="A16" s="14"/>
      <c r="B16" s="13" t="s">
        <v>110</v>
      </c>
      <c r="C16" s="7">
        <v>210</v>
      </c>
      <c r="D16" s="7">
        <v>195</v>
      </c>
      <c r="E16" s="7">
        <v>175</v>
      </c>
      <c r="F16" s="7">
        <v>240</v>
      </c>
      <c r="I16" s="9"/>
      <c r="J16" s="9"/>
      <c r="K16" s="9"/>
      <c r="L16" s="9"/>
    </row>
    <row r="17" spans="1:12" x14ac:dyDescent="0.45">
      <c r="A17" s="14"/>
      <c r="B17" s="13" t="s">
        <v>121</v>
      </c>
      <c r="C17" s="7">
        <v>50</v>
      </c>
      <c r="D17" s="7">
        <v>65</v>
      </c>
      <c r="E17" s="7">
        <v>94</v>
      </c>
      <c r="F17" s="7">
        <v>86</v>
      </c>
    </row>
    <row r="18" spans="1:12" x14ac:dyDescent="0.45">
      <c r="I18" s="9"/>
      <c r="J18" s="9"/>
      <c r="K18" s="9"/>
      <c r="L18" s="9"/>
    </row>
    <row r="19" spans="1:12" x14ac:dyDescent="0.45">
      <c r="I19" s="9"/>
      <c r="J19" s="9"/>
      <c r="K19" s="9"/>
      <c r="L19" s="9"/>
    </row>
  </sheetData>
  <dataConsolidate topLabels="1"/>
  <mergeCells count="3">
    <mergeCell ref="A3:A7"/>
    <mergeCell ref="A8:A12"/>
    <mergeCell ref="A13:A1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9"/>
  <sheetViews>
    <sheetView workbookViewId="0">
      <selection sqref="A1:G1"/>
    </sheetView>
  </sheetViews>
  <sheetFormatPr defaultRowHeight="17" x14ac:dyDescent="0.45"/>
  <cols>
    <col min="1" max="1" width="14.75" customWidth="1"/>
  </cols>
  <sheetData>
    <row r="1" spans="1:7" ht="21" x14ac:dyDescent="0.45">
      <c r="A1" s="17" t="s">
        <v>93</v>
      </c>
      <c r="B1" s="17"/>
      <c r="C1" s="17"/>
      <c r="D1" s="17"/>
      <c r="E1" s="17"/>
      <c r="F1" s="17"/>
      <c r="G1" s="17"/>
    </row>
    <row r="3" spans="1:7" x14ac:dyDescent="0.45">
      <c r="A3" s="1" t="s">
        <v>86</v>
      </c>
      <c r="B3" s="1" t="s">
        <v>87</v>
      </c>
      <c r="C3" s="1" t="s">
        <v>88</v>
      </c>
      <c r="D3" s="1" t="s">
        <v>89</v>
      </c>
      <c r="E3" s="1" t="s">
        <v>90</v>
      </c>
      <c r="F3" s="1" t="s">
        <v>91</v>
      </c>
      <c r="G3" s="1" t="s">
        <v>92</v>
      </c>
    </row>
    <row r="4" spans="1:7" x14ac:dyDescent="0.45">
      <c r="A4" s="5" t="s">
        <v>51</v>
      </c>
      <c r="B4" s="5">
        <v>150</v>
      </c>
      <c r="C4" s="5">
        <v>180</v>
      </c>
      <c r="D4" s="5">
        <v>160</v>
      </c>
      <c r="E4" s="5">
        <v>200</v>
      </c>
      <c r="F4" s="5">
        <v>210</v>
      </c>
      <c r="G4" s="5"/>
    </row>
    <row r="5" spans="1:7" x14ac:dyDescent="0.45">
      <c r="A5" s="5" t="s">
        <v>78</v>
      </c>
      <c r="B5" s="5">
        <v>130</v>
      </c>
      <c r="C5" s="5">
        <v>150</v>
      </c>
      <c r="D5" s="5">
        <v>200</v>
      </c>
      <c r="E5" s="5">
        <v>120</v>
      </c>
      <c r="F5" s="5">
        <v>220</v>
      </c>
      <c r="G5" s="5"/>
    </row>
    <row r="6" spans="1:7" x14ac:dyDescent="0.45">
      <c r="A6" s="5" t="s">
        <v>94</v>
      </c>
      <c r="B6" s="5">
        <v>250</v>
      </c>
      <c r="C6" s="5">
        <v>300</v>
      </c>
      <c r="D6" s="5">
        <v>280</v>
      </c>
      <c r="E6" s="5">
        <v>260</v>
      </c>
      <c r="F6" s="5">
        <v>320</v>
      </c>
      <c r="G6" s="5"/>
    </row>
    <row r="7" spans="1:7" x14ac:dyDescent="0.45">
      <c r="A7" s="5" t="s">
        <v>83</v>
      </c>
      <c r="B7" s="5">
        <v>220</v>
      </c>
      <c r="C7" s="5">
        <v>190</v>
      </c>
      <c r="D7" s="5">
        <v>200</v>
      </c>
      <c r="E7" s="5">
        <v>150</v>
      </c>
      <c r="F7" s="5">
        <v>190</v>
      </c>
      <c r="G7" s="5"/>
    </row>
    <row r="8" spans="1:7" x14ac:dyDescent="0.45">
      <c r="A8" s="5" t="s">
        <v>95</v>
      </c>
      <c r="B8" s="5">
        <v>180</v>
      </c>
      <c r="C8" s="5">
        <v>200</v>
      </c>
      <c r="D8" s="5">
        <v>210</v>
      </c>
      <c r="E8" s="5">
        <v>250</v>
      </c>
      <c r="F8" s="5">
        <v>130</v>
      </c>
      <c r="G8" s="5"/>
    </row>
    <row r="9" spans="1:7" x14ac:dyDescent="0.45">
      <c r="A9" s="5" t="s">
        <v>69</v>
      </c>
      <c r="B9" s="5">
        <v>160</v>
      </c>
      <c r="C9" s="5">
        <v>150</v>
      </c>
      <c r="D9" s="5">
        <v>170</v>
      </c>
      <c r="E9" s="5">
        <v>200</v>
      </c>
      <c r="F9" s="5">
        <v>250</v>
      </c>
      <c r="G9" s="5"/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8"/>
  <sheetViews>
    <sheetView workbookViewId="0">
      <selection sqref="A1:F1"/>
    </sheetView>
  </sheetViews>
  <sheetFormatPr defaultRowHeight="17" x14ac:dyDescent="0.45"/>
  <sheetData>
    <row r="1" spans="1:6" x14ac:dyDescent="0.45">
      <c r="A1" s="18" t="s">
        <v>96</v>
      </c>
      <c r="B1" s="18"/>
      <c r="C1" s="18"/>
      <c r="D1" s="18"/>
      <c r="E1" s="18"/>
      <c r="F1" s="18"/>
    </row>
    <row r="3" spans="1:6" x14ac:dyDescent="0.45">
      <c r="A3" s="1" t="s">
        <v>105</v>
      </c>
      <c r="B3" s="1" t="s">
        <v>104</v>
      </c>
      <c r="C3" s="1" t="s">
        <v>103</v>
      </c>
      <c r="D3" s="1" t="s">
        <v>102</v>
      </c>
      <c r="E3" s="1" t="s">
        <v>106</v>
      </c>
      <c r="F3" s="6" t="s">
        <v>107</v>
      </c>
    </row>
    <row r="4" spans="1:6" x14ac:dyDescent="0.45">
      <c r="A4" s="1" t="s">
        <v>97</v>
      </c>
      <c r="B4" s="4">
        <v>158</v>
      </c>
      <c r="C4" s="4">
        <v>140</v>
      </c>
      <c r="D4" s="4">
        <v>170</v>
      </c>
      <c r="E4" s="4">
        <v>162</v>
      </c>
      <c r="F4" s="7">
        <f>SUM(B4:E4)</f>
        <v>630</v>
      </c>
    </row>
    <row r="5" spans="1:6" x14ac:dyDescent="0.45">
      <c r="A5" s="1" t="s">
        <v>100</v>
      </c>
      <c r="B5" s="4">
        <v>120</v>
      </c>
      <c r="C5" s="4">
        <v>115</v>
      </c>
      <c r="D5" s="4">
        <v>106</v>
      </c>
      <c r="E5" s="4">
        <v>125</v>
      </c>
      <c r="F5" s="7">
        <f t="shared" ref="F5:F8" si="0">SUM(B5:E5)</f>
        <v>466</v>
      </c>
    </row>
    <row r="6" spans="1:6" x14ac:dyDescent="0.45">
      <c r="A6" s="1" t="s">
        <v>101</v>
      </c>
      <c r="B6" s="4">
        <v>180</v>
      </c>
      <c r="C6" s="4">
        <v>190</v>
      </c>
      <c r="D6" s="4">
        <v>165</v>
      </c>
      <c r="E6" s="4">
        <v>170</v>
      </c>
      <c r="F6" s="7">
        <f t="shared" si="0"/>
        <v>705</v>
      </c>
    </row>
    <row r="7" spans="1:6" x14ac:dyDescent="0.45">
      <c r="A7" s="1" t="s">
        <v>98</v>
      </c>
      <c r="B7" s="4">
        <v>109</v>
      </c>
      <c r="C7" s="4">
        <v>120</v>
      </c>
      <c r="D7" s="4">
        <v>129</v>
      </c>
      <c r="E7" s="4">
        <v>115</v>
      </c>
      <c r="F7" s="7">
        <f t="shared" si="0"/>
        <v>473</v>
      </c>
    </row>
    <row r="8" spans="1:6" x14ac:dyDescent="0.45">
      <c r="A8" s="1" t="s">
        <v>99</v>
      </c>
      <c r="B8" s="4">
        <v>130</v>
      </c>
      <c r="C8" s="4">
        <v>120</v>
      </c>
      <c r="D8" s="4">
        <v>135</v>
      </c>
      <c r="E8" s="4">
        <v>140</v>
      </c>
      <c r="F8" s="7">
        <f t="shared" si="0"/>
        <v>525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2023-02-06T06:23:03Z</dcterms:created>
  <dcterms:modified xsi:type="dcterms:W3CDTF">2023-03-20T04:35:03Z</dcterms:modified>
</cp:coreProperties>
</file>