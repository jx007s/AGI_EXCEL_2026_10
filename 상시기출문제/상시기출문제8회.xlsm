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/>
  <workbookPr codeName="현재_통합_문서"/>
  <mc:AlternateContent xmlns:mc="http://schemas.openxmlformats.org/markup-compatibility/2006">
    <mc:Choice Requires="x15">
      <x15ac:absPath xmlns:x15ac="http://schemas.microsoft.com/office/spreadsheetml/2010/11/ac" url="E:\영진(2024년)\2급\기출문제(1~2회)\"/>
    </mc:Choice>
  </mc:AlternateContent>
  <xr:revisionPtr revIDLastSave="0" documentId="13_ncr:1_{CFB4033E-715A-4FB5-9B23-2CCEB2F6DAC8}" xr6:coauthVersionLast="47" xr6:coauthVersionMax="47" xr10:uidLastSave="{00000000-0000-0000-0000-000000000000}"/>
  <bookViews>
    <workbookView xWindow="1070" yWindow="1250" windowWidth="18740" windowHeight="14180" tabRatio="928" xr2:uid="{00000000-000D-0000-FFFF-FFFF00000000}"/>
  </bookViews>
  <sheets>
    <sheet name="기본작업-1" sheetId="1" r:id="rId1"/>
    <sheet name="기본작업-2" sheetId="9" r:id="rId2"/>
    <sheet name="기본작업-3" sheetId="3" r:id="rId3"/>
    <sheet name="계산작업" sheetId="4" r:id="rId4"/>
    <sheet name="분석작업-1" sheetId="5" r:id="rId5"/>
    <sheet name="분석작업-2" sheetId="6" r:id="rId6"/>
    <sheet name="매크로작업" sheetId="7" r:id="rId7"/>
    <sheet name="차트작업" sheetId="8" r:id="rId8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8" i="8" l="1"/>
  <c r="D8" i="8"/>
  <c r="E8" i="8"/>
  <c r="F8" i="8"/>
  <c r="G8" i="8"/>
  <c r="H8" i="8"/>
  <c r="I8" i="8"/>
  <c r="B8" i="8"/>
  <c r="I5" i="8"/>
  <c r="I6" i="8"/>
  <c r="I7" i="8"/>
  <c r="I4" i="8"/>
  <c r="E4" i="7"/>
  <c r="E5" i="7"/>
  <c r="E6" i="7"/>
  <c r="E7" i="7"/>
  <c r="E8" i="7"/>
  <c r="E9" i="7"/>
  <c r="E10" i="7"/>
  <c r="E11" i="7"/>
  <c r="E3" i="7"/>
  <c r="E16" i="6" l="1"/>
  <c r="D16" i="6"/>
  <c r="C16" i="6"/>
  <c r="F15" i="6"/>
  <c r="G15" i="6" s="1"/>
  <c r="F14" i="6"/>
  <c r="G14" i="6" s="1"/>
  <c r="F13" i="6"/>
  <c r="G13" i="6" s="1"/>
  <c r="F12" i="6"/>
  <c r="G12" i="6" s="1"/>
  <c r="F11" i="6"/>
  <c r="G11" i="6" s="1"/>
  <c r="F10" i="6"/>
  <c r="G10" i="6" s="1"/>
  <c r="F9" i="6"/>
  <c r="G9" i="6" s="1"/>
  <c r="F8" i="6"/>
  <c r="G8" i="6" s="1"/>
  <c r="F7" i="6"/>
  <c r="G7" i="6" s="1"/>
  <c r="F6" i="6"/>
  <c r="G6" i="6" s="1"/>
  <c r="F5" i="6"/>
  <c r="G5" i="6" s="1"/>
  <c r="F4" i="6"/>
  <c r="G4" i="6" s="1"/>
  <c r="G16" i="6" l="1"/>
  <c r="F16" i="6"/>
  <c r="F19" i="5"/>
  <c r="F18" i="5"/>
  <c r="F17" i="5"/>
  <c r="F16" i="5"/>
  <c r="F15" i="5"/>
  <c r="F14" i="5"/>
  <c r="F13" i="5"/>
  <c r="F12" i="5"/>
  <c r="F11" i="5"/>
  <c r="F10" i="5"/>
  <c r="F9" i="5"/>
  <c r="F8" i="5"/>
  <c r="F7" i="5"/>
  <c r="F6" i="5"/>
  <c r="F5" i="5"/>
  <c r="F4" i="5"/>
  <c r="F4" i="9" l="1"/>
  <c r="G4" i="9" s="1"/>
  <c r="F5" i="9"/>
  <c r="G5" i="9" s="1"/>
  <c r="F6" i="9"/>
  <c r="G6" i="9" s="1"/>
  <c r="F7" i="9"/>
  <c r="G7" i="9" s="1"/>
  <c r="F8" i="9"/>
  <c r="G8" i="9" s="1"/>
  <c r="F9" i="9"/>
  <c r="G9" i="9" s="1"/>
  <c r="F10" i="9"/>
  <c r="G10" i="9" s="1"/>
  <c r="F11" i="9"/>
  <c r="G11" i="9"/>
</calcChain>
</file>

<file path=xl/sharedStrings.xml><?xml version="1.0" encoding="utf-8"?>
<sst xmlns="http://schemas.openxmlformats.org/spreadsheetml/2006/main" count="188" uniqueCount="136">
  <si>
    <t>분류</t>
    <phoneticPr fontId="1" type="noConversion"/>
  </si>
  <si>
    <t>어린이 체험 프로그램</t>
    <phoneticPr fontId="1" type="noConversion"/>
  </si>
  <si>
    <t>지역</t>
    <phoneticPr fontId="1" type="noConversion"/>
  </si>
  <si>
    <t>서울</t>
    <phoneticPr fontId="1" type="noConversion"/>
  </si>
  <si>
    <t>경기</t>
    <phoneticPr fontId="1" type="noConversion"/>
  </si>
  <si>
    <t>노인복지시설</t>
    <phoneticPr fontId="1" type="noConversion"/>
  </si>
  <si>
    <t>아동복지시설</t>
    <phoneticPr fontId="1" type="noConversion"/>
  </si>
  <si>
    <t>장애인복지시설</t>
    <phoneticPr fontId="1" type="noConversion"/>
  </si>
  <si>
    <t>노숙인시설</t>
    <phoneticPr fontId="1" type="noConversion"/>
  </si>
  <si>
    <t>지역자활센터</t>
    <phoneticPr fontId="1" type="noConversion"/>
  </si>
  <si>
    <t>보건복지부 종사자 현황</t>
    <phoneticPr fontId="1" type="noConversion"/>
  </si>
  <si>
    <t>인천</t>
    <phoneticPr fontId="1" type="noConversion"/>
  </si>
  <si>
    <t>충청</t>
    <phoneticPr fontId="1" type="noConversion"/>
  </si>
  <si>
    <t>경상</t>
    <phoneticPr fontId="1" type="noConversion"/>
  </si>
  <si>
    <t>강원</t>
    <phoneticPr fontId="1" type="noConversion"/>
  </si>
  <si>
    <t>제주</t>
    <phoneticPr fontId="1" type="noConversion"/>
  </si>
  <si>
    <t>대전</t>
    <phoneticPr fontId="1" type="noConversion"/>
  </si>
  <si>
    <t>대구</t>
    <phoneticPr fontId="1" type="noConversion"/>
  </si>
  <si>
    <t>광주</t>
    <phoneticPr fontId="1" type="noConversion"/>
  </si>
  <si>
    <t>30큐브용</t>
    <phoneticPr fontId="1" type="noConversion"/>
  </si>
  <si>
    <t>안핑크 LED 어항 조명</t>
    <phoneticPr fontId="1" type="noConversion"/>
  </si>
  <si>
    <t>기본세트</t>
    <phoneticPr fontId="1" type="noConversion"/>
  </si>
  <si>
    <t>거북이수족관</t>
    <phoneticPr fontId="1" type="noConversion"/>
  </si>
  <si>
    <t>관상어</t>
    <phoneticPr fontId="1" type="noConversion"/>
  </si>
  <si>
    <t>100g x 5팩</t>
    <phoneticPr fontId="1" type="noConversion"/>
  </si>
  <si>
    <t>무무 스테이크</t>
    <phoneticPr fontId="1" type="noConversion"/>
  </si>
  <si>
    <t>8.7kg</t>
    <phoneticPr fontId="1" type="noConversion"/>
  </si>
  <si>
    <t>미니 인도어 어덜트</t>
    <phoneticPr fontId="1" type="noConversion"/>
  </si>
  <si>
    <t>20g x 400매</t>
    <phoneticPr fontId="1" type="noConversion"/>
  </si>
  <si>
    <t>애견패드</t>
    <phoneticPr fontId="1" type="noConversion"/>
  </si>
  <si>
    <t>강아지용품</t>
    <phoneticPr fontId="1" type="noConversion"/>
  </si>
  <si>
    <t>7L x 6</t>
    <phoneticPr fontId="1" type="noConversion"/>
  </si>
  <si>
    <t>두부두부 고양이모래</t>
    <phoneticPr fontId="1" type="noConversion"/>
  </si>
  <si>
    <t>2kg</t>
    <phoneticPr fontId="1" type="noConversion"/>
  </si>
  <si>
    <t>로얄캐닌 키튼</t>
    <phoneticPr fontId="1" type="noConversion"/>
  </si>
  <si>
    <t>10개</t>
    <phoneticPr fontId="1" type="noConversion"/>
  </si>
  <si>
    <t>짜먹는 츄르</t>
    <phoneticPr fontId="1" type="noConversion"/>
  </si>
  <si>
    <t>고양이용품</t>
    <phoneticPr fontId="1" type="noConversion"/>
  </si>
  <si>
    <t>순위</t>
    <phoneticPr fontId="1" type="noConversion"/>
  </si>
  <si>
    <t>총액</t>
    <phoneticPr fontId="1" type="noConversion"/>
  </si>
  <si>
    <t>판매량</t>
    <phoneticPr fontId="1" type="noConversion"/>
  </si>
  <si>
    <t>판매가</t>
    <phoneticPr fontId="1" type="noConversion"/>
  </si>
  <si>
    <t>단위</t>
    <phoneticPr fontId="1" type="noConversion"/>
  </si>
  <si>
    <t>상품명</t>
    <phoneticPr fontId="1" type="noConversion"/>
  </si>
  <si>
    <t>반려동물용품 판매 현황</t>
    <phoneticPr fontId="1" type="noConversion"/>
  </si>
  <si>
    <t>제품 생산현황</t>
  </si>
  <si>
    <t>제품코드</t>
    <phoneticPr fontId="1" type="noConversion"/>
  </si>
  <si>
    <t>생산공장</t>
    <phoneticPr fontId="1" type="noConversion"/>
  </si>
  <si>
    <t>목표수량</t>
    <phoneticPr fontId="1" type="noConversion"/>
  </si>
  <si>
    <t>생산수량</t>
    <phoneticPr fontId="1" type="noConversion"/>
  </si>
  <si>
    <t>불량수량</t>
    <phoneticPr fontId="1" type="noConversion"/>
  </si>
  <si>
    <t>불량률</t>
    <phoneticPr fontId="1" type="noConversion"/>
  </si>
  <si>
    <t>ANS-001</t>
  </si>
  <si>
    <t>안산</t>
  </si>
  <si>
    <t>POT-001</t>
  </si>
  <si>
    <t>평택</t>
  </si>
  <si>
    <t>POT-002</t>
  </si>
  <si>
    <t>ANS-002</t>
  </si>
  <si>
    <t>ANS-001</t>
    <phoneticPr fontId="1" type="noConversion"/>
  </si>
  <si>
    <t>가전제품 판매현황</t>
    <phoneticPr fontId="1" type="noConversion"/>
  </si>
  <si>
    <t>(단위 : 만원)</t>
    <phoneticPr fontId="1" type="noConversion"/>
  </si>
  <si>
    <t>지점명</t>
  </si>
  <si>
    <t>제품명</t>
  </si>
  <si>
    <t>입고량</t>
  </si>
  <si>
    <t>판매량</t>
  </si>
  <si>
    <t>판매가</t>
  </si>
  <si>
    <t>총판매액</t>
  </si>
  <si>
    <t>순이익</t>
    <phoneticPr fontId="1" type="noConversion"/>
  </si>
  <si>
    <t>순이익율</t>
    <phoneticPr fontId="1" type="noConversion"/>
  </si>
  <si>
    <t>도곡점</t>
    <phoneticPr fontId="1" type="noConversion"/>
  </si>
  <si>
    <t>냉장고</t>
  </si>
  <si>
    <t>세탁기</t>
  </si>
  <si>
    <t>TV</t>
  </si>
  <si>
    <t>건조기</t>
  </si>
  <si>
    <t>서초본점</t>
    <phoneticPr fontId="1" type="noConversion"/>
  </si>
  <si>
    <t>방배점</t>
    <phoneticPr fontId="1" type="noConversion"/>
  </si>
  <si>
    <t>합계</t>
    <phoneticPr fontId="1" type="noConversion"/>
  </si>
  <si>
    <t>총판매액</t>
    <phoneticPr fontId="1" type="noConversion"/>
  </si>
  <si>
    <t>달성률</t>
    <phoneticPr fontId="1" type="noConversion"/>
  </si>
  <si>
    <t>가격</t>
    <phoneticPr fontId="1" type="noConversion"/>
  </si>
  <si>
    <t>목표량</t>
    <phoneticPr fontId="1" type="noConversion"/>
  </si>
  <si>
    <t>강아지패드</t>
    <phoneticPr fontId="1" type="noConversion"/>
  </si>
  <si>
    <t>스킨파우더</t>
    <phoneticPr fontId="1" type="noConversion"/>
  </si>
  <si>
    <t>기관지 영양제</t>
    <phoneticPr fontId="1" type="noConversion"/>
  </si>
  <si>
    <t>강아지 유산균</t>
    <phoneticPr fontId="1" type="noConversion"/>
  </si>
  <si>
    <t>로얄캐닌</t>
    <phoneticPr fontId="1" type="noConversion"/>
  </si>
  <si>
    <t>오라틴 치약</t>
    <phoneticPr fontId="1" type="noConversion"/>
  </si>
  <si>
    <t>노령견 관절 미펫낼름</t>
    <phoneticPr fontId="1" type="noConversion"/>
  </si>
  <si>
    <t>배변봉투 리필</t>
    <phoneticPr fontId="1" type="noConversion"/>
  </si>
  <si>
    <t>새밀린</t>
    <phoneticPr fontId="1" type="noConversion"/>
  </si>
  <si>
    <t>[표] 애견용품 판매현황</t>
    <phoneticPr fontId="1" type="noConversion"/>
  </si>
  <si>
    <t>서울</t>
  </si>
  <si>
    <t>인천</t>
  </si>
  <si>
    <t>대구</t>
  </si>
  <si>
    <t>광주</t>
  </si>
  <si>
    <t>부산</t>
  </si>
  <si>
    <t>목포</t>
  </si>
  <si>
    <t>제주</t>
  </si>
  <si>
    <t>1분기</t>
    <phoneticPr fontId="1" type="noConversion"/>
  </si>
  <si>
    <t>2분기</t>
  </si>
  <si>
    <t>3분기</t>
  </si>
  <si>
    <t>4분기</t>
  </si>
  <si>
    <t>평균</t>
    <phoneticPr fontId="1" type="noConversion"/>
  </si>
  <si>
    <t>지역별 강수량(mm)</t>
    <phoneticPr fontId="1" type="noConversion"/>
  </si>
  <si>
    <t>분기평균</t>
    <phoneticPr fontId="1" type="noConversion"/>
  </si>
  <si>
    <t>회원ID</t>
    <phoneticPr fontId="1" type="noConversion"/>
  </si>
  <si>
    <t>성명</t>
    <phoneticPr fontId="1" type="noConversion"/>
  </si>
  <si>
    <t>성별</t>
    <phoneticPr fontId="1" type="noConversion"/>
  </si>
  <si>
    <t>적립포인트</t>
    <phoneticPr fontId="1" type="noConversion"/>
  </si>
  <si>
    <t>TG-01</t>
  </si>
  <si>
    <t>강나리</t>
  </si>
  <si>
    <t>여</t>
    <phoneticPr fontId="1" type="noConversion"/>
  </si>
  <si>
    <t>VB-03</t>
  </si>
  <si>
    <t>김윤진</t>
  </si>
  <si>
    <t>남</t>
    <phoneticPr fontId="1" type="noConversion"/>
  </si>
  <si>
    <t>TG-05</t>
  </si>
  <si>
    <t>황태준</t>
  </si>
  <si>
    <t>VB-06</t>
  </si>
  <si>
    <t>이나준</t>
  </si>
  <si>
    <t>회원구분</t>
    <phoneticPr fontId="1" type="noConversion"/>
  </si>
  <si>
    <t>[표1]</t>
    <phoneticPr fontId="1" type="noConversion"/>
  </si>
  <si>
    <t>남여최대평균점수</t>
    <phoneticPr fontId="1" type="noConversion"/>
  </si>
  <si>
    <t>&lt;조건&gt;</t>
    <phoneticPr fontId="1" type="noConversion"/>
  </si>
  <si>
    <t>상품코드</t>
    <phoneticPr fontId="1" type="noConversion"/>
  </si>
  <si>
    <t>DD-072</t>
    <phoneticPr fontId="1" type="noConversion"/>
  </si>
  <si>
    <t>DA-061</t>
    <phoneticPr fontId="1" type="noConversion"/>
  </si>
  <si>
    <t>DY-082</t>
    <phoneticPr fontId="1" type="noConversion"/>
  </si>
  <si>
    <t>DU-091</t>
    <phoneticPr fontId="1" type="noConversion"/>
  </si>
  <si>
    <t>DV-083</t>
    <phoneticPr fontId="1" type="noConversion"/>
  </si>
  <si>
    <t>DP-094</t>
    <phoneticPr fontId="1" type="noConversion"/>
  </si>
  <si>
    <t>DR-053</t>
    <phoneticPr fontId="1" type="noConversion"/>
  </si>
  <si>
    <t>구매횟수</t>
    <phoneticPr fontId="1" type="noConversion"/>
  </si>
  <si>
    <t>우수회원 수</t>
    <phoneticPr fontId="1" type="noConversion"/>
  </si>
  <si>
    <t>주문시간</t>
    <phoneticPr fontId="1" type="noConversion"/>
  </si>
  <si>
    <t>배송시간</t>
    <phoneticPr fontId="1" type="noConversion"/>
  </si>
  <si>
    <t>도착시간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</si>
</sst>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76" formatCode="h:mm:ss;@"/>
  </numFmts>
  <fonts count="8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0"/>
      <name val="Arial"/>
      <family val="2"/>
    </font>
    <font>
      <sz val="11"/>
      <color theme="1"/>
      <name val="맑은 고딕"/>
      <family val="3"/>
      <charset val="129"/>
      <scheme val="minor"/>
    </font>
    <font>
      <sz val="11"/>
      <color indexed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2" fillId="0" borderId="0" applyFont="0" applyFill="0" applyBorder="0" applyAlignment="0" applyProtection="0">
      <alignment vertical="center"/>
    </xf>
    <xf numFmtId="9" fontId="2" fillId="0" borderId="0" applyFont="0" applyFill="0" applyBorder="0" applyAlignment="0" applyProtection="0">
      <alignment vertical="center"/>
    </xf>
    <xf numFmtId="0" fontId="4" fillId="0" borderId="0"/>
  </cellStyleXfs>
  <cellXfs count="27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41" fontId="0" fillId="0" borderId="1" xfId="1" applyFont="1" applyBorder="1" applyAlignment="1">
      <alignment horizontal="center" vertical="center"/>
    </xf>
    <xf numFmtId="41" fontId="0" fillId="0" borderId="1" xfId="1" applyFont="1" applyBorder="1">
      <alignment vertical="center"/>
    </xf>
    <xf numFmtId="9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0" xfId="1" applyFont="1">
      <alignment vertical="center"/>
    </xf>
    <xf numFmtId="0" fontId="5" fillId="0" borderId="1" xfId="0" applyFont="1" applyFill="1" applyBorder="1">
      <alignment vertical="center"/>
    </xf>
    <xf numFmtId="0" fontId="6" fillId="0" borderId="1" xfId="3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41" fontId="6" fillId="0" borderId="1" xfId="1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21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</cellXfs>
  <cellStyles count="4">
    <cellStyle name="백분율" xfId="2" builtinId="5"/>
    <cellStyle name="쉼표 [0]" xfId="1" builtinId="6"/>
    <cellStyle name="표준" xfId="0" builtinId="0"/>
    <cellStyle name="표준 3" xfId="3" xr:uid="{52726200-06D9-4348-A3CC-49D04A6E635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차트작업!$A$4</c:f>
              <c:strCache>
                <c:ptCount val="1"/>
                <c:pt idx="0">
                  <c:v>1분기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차트작업!$B$3:$I$3</c:f>
              <c:strCache>
                <c:ptCount val="8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  <c:pt idx="7">
                  <c:v>평균</c:v>
                </c:pt>
              </c:strCache>
            </c:strRef>
          </c:cat>
          <c:val>
            <c:numRef>
              <c:f>차트작업!$B$4:$I$4</c:f>
              <c:numCache>
                <c:formatCode>_(* #,##0_);_(* \(#,##0\);_(* "-"_);_(@_)</c:formatCode>
                <c:ptCount val="8"/>
                <c:pt idx="0">
                  <c:v>112.8</c:v>
                </c:pt>
                <c:pt idx="1">
                  <c:v>91.699999999999989</c:v>
                </c:pt>
                <c:pt idx="2">
                  <c:v>34.4</c:v>
                </c:pt>
                <c:pt idx="3">
                  <c:v>108.2</c:v>
                </c:pt>
                <c:pt idx="4">
                  <c:v>127.4</c:v>
                </c:pt>
                <c:pt idx="5">
                  <c:v>87.7</c:v>
                </c:pt>
                <c:pt idx="6">
                  <c:v>154.80000000000001</c:v>
                </c:pt>
                <c:pt idx="7">
                  <c:v>102.42857142857143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47E-4FC9-A747-E924D97898B0}"/>
            </c:ext>
          </c:extLst>
        </c:ser>
        <c:ser>
          <c:idx val="1"/>
          <c:order val="1"/>
          <c:tx>
            <c:strRef>
              <c:f>차트작업!$A$5</c:f>
              <c:strCache>
                <c:ptCount val="1"/>
                <c:pt idx="0">
                  <c:v>2분기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차트작업!$B$3:$I$3</c:f>
              <c:strCache>
                <c:ptCount val="8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  <c:pt idx="7">
                  <c:v>평균</c:v>
                </c:pt>
              </c:strCache>
            </c:strRef>
          </c:cat>
          <c:val>
            <c:numRef>
              <c:f>차트작업!$B$5:$I$5</c:f>
              <c:numCache>
                <c:formatCode>_(* #,##0_);_(* \(#,##0\);_(* "-"_);_(@_)</c:formatCode>
                <c:ptCount val="8"/>
                <c:pt idx="0">
                  <c:v>421.7</c:v>
                </c:pt>
                <c:pt idx="1">
                  <c:v>312.5</c:v>
                </c:pt>
                <c:pt idx="2">
                  <c:v>124.5</c:v>
                </c:pt>
                <c:pt idx="3">
                  <c:v>181.5</c:v>
                </c:pt>
                <c:pt idx="4">
                  <c:v>288</c:v>
                </c:pt>
                <c:pt idx="5">
                  <c:v>167.5</c:v>
                </c:pt>
                <c:pt idx="6">
                  <c:v>236.7</c:v>
                </c:pt>
                <c:pt idx="7">
                  <c:v>247.48571428571429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47E-4FC9-A747-E924D97898B0}"/>
            </c:ext>
          </c:extLst>
        </c:ser>
        <c:ser>
          <c:idx val="2"/>
          <c:order val="2"/>
          <c:tx>
            <c:strRef>
              <c:f>차트작업!$A$6</c:f>
              <c:strCache>
                <c:ptCount val="1"/>
                <c:pt idx="0">
                  <c:v>3분기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차트작업!$B$3:$I$3</c:f>
              <c:strCache>
                <c:ptCount val="8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  <c:pt idx="7">
                  <c:v>평균</c:v>
                </c:pt>
              </c:strCache>
            </c:strRef>
          </c:cat>
          <c:val>
            <c:numRef>
              <c:f>차트작업!$B$6:$I$6</c:f>
              <c:numCache>
                <c:formatCode>_(* #,##0_);_(* \(#,##0\);_(* "-"_);_(@_)</c:formatCode>
                <c:ptCount val="8"/>
                <c:pt idx="0">
                  <c:v>1018.5999999999999</c:v>
                </c:pt>
                <c:pt idx="1">
                  <c:v>1018.8999999999999</c:v>
                </c:pt>
                <c:pt idx="2">
                  <c:v>346.3</c:v>
                </c:pt>
                <c:pt idx="3">
                  <c:v>364.59999999999997</c:v>
                </c:pt>
                <c:pt idx="4">
                  <c:v>484.1</c:v>
                </c:pt>
                <c:pt idx="5">
                  <c:v>390.5</c:v>
                </c:pt>
                <c:pt idx="6">
                  <c:v>539.1</c:v>
                </c:pt>
                <c:pt idx="7">
                  <c:v>594.58571428571418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A47E-4FC9-A747-E924D97898B0}"/>
            </c:ext>
          </c:extLst>
        </c:ser>
        <c:ser>
          <c:idx val="3"/>
          <c:order val="3"/>
          <c:tx>
            <c:strRef>
              <c:f>차트작업!$A$7</c:f>
              <c:strCache>
                <c:ptCount val="1"/>
                <c:pt idx="0">
                  <c:v>4분기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차트작업!$B$3:$I$3</c:f>
              <c:strCache>
                <c:ptCount val="8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  <c:pt idx="7">
                  <c:v>평균</c:v>
                </c:pt>
              </c:strCache>
            </c:strRef>
          </c:cat>
          <c:val>
            <c:numRef>
              <c:f>차트작업!$B$7:$I$7</c:f>
              <c:numCache>
                <c:formatCode>_(* #,##0_);_(* \(#,##0\);_(* "-"_);_(@_)</c:formatCode>
                <c:ptCount val="8"/>
                <c:pt idx="0">
                  <c:v>216.5</c:v>
                </c:pt>
                <c:pt idx="1">
                  <c:v>190.99999999999997</c:v>
                </c:pt>
                <c:pt idx="2">
                  <c:v>72.3</c:v>
                </c:pt>
                <c:pt idx="3">
                  <c:v>92.1</c:v>
                </c:pt>
                <c:pt idx="4">
                  <c:v>75.5</c:v>
                </c:pt>
                <c:pt idx="5">
                  <c:v>85</c:v>
                </c:pt>
                <c:pt idx="6">
                  <c:v>141.30000000000001</c:v>
                </c:pt>
                <c:pt idx="7">
                  <c:v>124.81428571428572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A47E-4FC9-A747-E924D97898B0}"/>
            </c:ext>
          </c:extLst>
        </c:ser>
        <c:ser>
          <c:idx val="4"/>
          <c:order val="4"/>
          <c:tx>
            <c:strRef>
              <c:f>차트작업!$A$8</c:f>
              <c:strCache>
                <c:ptCount val="1"/>
                <c:pt idx="0">
                  <c:v>분기평균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차트작업!$B$3:$I$3</c:f>
              <c:strCache>
                <c:ptCount val="8"/>
                <c:pt idx="0">
                  <c:v>서울</c:v>
                </c:pt>
                <c:pt idx="1">
                  <c:v>인천</c:v>
                </c:pt>
                <c:pt idx="2">
                  <c:v>대구</c:v>
                </c:pt>
                <c:pt idx="3">
                  <c:v>광주</c:v>
                </c:pt>
                <c:pt idx="4">
                  <c:v>부산</c:v>
                </c:pt>
                <c:pt idx="5">
                  <c:v>목포</c:v>
                </c:pt>
                <c:pt idx="6">
                  <c:v>제주</c:v>
                </c:pt>
                <c:pt idx="7">
                  <c:v>평균</c:v>
                </c:pt>
              </c:strCache>
            </c:strRef>
          </c:cat>
          <c:val>
            <c:numRef>
              <c:f>차트작업!$B$8:$I$8</c:f>
              <c:numCache>
                <c:formatCode>_(* #,##0_);_(* \(#,##0\);_(* "-"_);_(@_)</c:formatCode>
                <c:ptCount val="8"/>
                <c:pt idx="0">
                  <c:v>442.4</c:v>
                </c:pt>
                <c:pt idx="1">
                  <c:v>403.52499999999998</c:v>
                </c:pt>
                <c:pt idx="2">
                  <c:v>144.375</c:v>
                </c:pt>
                <c:pt idx="3">
                  <c:v>186.6</c:v>
                </c:pt>
                <c:pt idx="4">
                  <c:v>243.75</c:v>
                </c:pt>
                <c:pt idx="5">
                  <c:v>182.67500000000001</c:v>
                </c:pt>
                <c:pt idx="6">
                  <c:v>267.97500000000002</c:v>
                </c:pt>
                <c:pt idx="7">
                  <c:v>267.32857142857142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47E-4FC9-A747-E924D97898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20457216"/>
        <c:axId val="1820468032"/>
      </c:barChart>
      <c:catAx>
        <c:axId val="18204572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0468032"/>
        <c:crosses val="autoZero"/>
        <c:auto val="1"/>
        <c:lblAlgn val="ctr"/>
        <c:lblOffset val="100"/>
        <c:noMultiLvlLbl val="0"/>
      </c:catAx>
      <c:valAx>
        <c:axId val="1820468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045721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9</xdr:row>
      <xdr:rowOff>0</xdr:rowOff>
    </xdr:from>
    <xdr:to>
      <xdr:col>9</xdr:col>
      <xdr:colOff>0</xdr:colOff>
      <xdr:row>26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5FE4A84-B20C-47FA-9B31-F7607266D3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"/>
  <sheetViews>
    <sheetView tabSelected="1" workbookViewId="0"/>
  </sheetViews>
  <sheetFormatPr defaultRowHeight="17" x14ac:dyDescent="0.45"/>
  <cols>
    <col min="1" max="1" width="10.1640625" customWidth="1"/>
    <col min="2" max="2" width="23.58203125" customWidth="1"/>
    <col min="3" max="3" width="13.1640625" bestFit="1" customWidth="1"/>
  </cols>
  <sheetData>
    <row r="1" spans="1:1" x14ac:dyDescent="0.45">
      <c r="A1" t="s">
        <v>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162DD-21ED-4C57-B1CD-EB95308F6CF7}">
  <sheetPr codeName="Sheet2"/>
  <dimension ref="A1:G11"/>
  <sheetViews>
    <sheetView workbookViewId="0"/>
  </sheetViews>
  <sheetFormatPr defaultRowHeight="17" x14ac:dyDescent="0.45"/>
  <cols>
    <col min="1" max="1" width="10.4140625" bestFit="1" customWidth="1"/>
    <col min="2" max="2" width="19" bestFit="1" customWidth="1"/>
    <col min="3" max="3" width="11.33203125" bestFit="1" customWidth="1"/>
  </cols>
  <sheetData>
    <row r="1" spans="1:7" x14ac:dyDescent="0.45">
      <c r="A1" t="s">
        <v>44</v>
      </c>
    </row>
    <row r="3" spans="1:7" x14ac:dyDescent="0.45">
      <c r="A3" t="s">
        <v>0</v>
      </c>
      <c r="B3" t="s">
        <v>43</v>
      </c>
      <c r="C3" t="s">
        <v>42</v>
      </c>
      <c r="D3" t="s">
        <v>41</v>
      </c>
      <c r="E3" t="s">
        <v>40</v>
      </c>
      <c r="F3" t="s">
        <v>39</v>
      </c>
      <c r="G3" t="s">
        <v>38</v>
      </c>
    </row>
    <row r="4" spans="1:7" x14ac:dyDescent="0.45">
      <c r="A4" t="s">
        <v>37</v>
      </c>
      <c r="B4" t="s">
        <v>36</v>
      </c>
      <c r="C4" t="s">
        <v>35</v>
      </c>
      <c r="D4">
        <v>17900</v>
      </c>
      <c r="E4">
        <v>15</v>
      </c>
      <c r="F4">
        <f t="shared" ref="F4:F11" si="0">D4*E4</f>
        <v>268500</v>
      </c>
      <c r="G4">
        <f t="shared" ref="G4:G11" si="1">_xlfn.RANK.EQ(F4,$F$4:$F$11)</f>
        <v>8</v>
      </c>
    </row>
    <row r="5" spans="1:7" x14ac:dyDescent="0.45">
      <c r="B5" t="s">
        <v>34</v>
      </c>
      <c r="C5" t="s">
        <v>33</v>
      </c>
      <c r="D5">
        <v>24000</v>
      </c>
      <c r="E5">
        <v>20</v>
      </c>
      <c r="F5">
        <f t="shared" si="0"/>
        <v>480000</v>
      </c>
      <c r="G5">
        <f t="shared" si="1"/>
        <v>5</v>
      </c>
    </row>
    <row r="6" spans="1:7" x14ac:dyDescent="0.45">
      <c r="B6" t="s">
        <v>32</v>
      </c>
      <c r="C6" t="s">
        <v>31</v>
      </c>
      <c r="D6">
        <v>26820</v>
      </c>
      <c r="E6">
        <v>18</v>
      </c>
      <c r="F6">
        <f t="shared" si="0"/>
        <v>482760</v>
      </c>
      <c r="G6">
        <f t="shared" si="1"/>
        <v>4</v>
      </c>
    </row>
    <row r="7" spans="1:7" x14ac:dyDescent="0.45">
      <c r="A7" t="s">
        <v>30</v>
      </c>
      <c r="B7" t="s">
        <v>29</v>
      </c>
      <c r="C7" t="s">
        <v>28</v>
      </c>
      <c r="D7">
        <v>32900</v>
      </c>
      <c r="E7">
        <v>37</v>
      </c>
      <c r="F7">
        <f t="shared" si="0"/>
        <v>1217300</v>
      </c>
      <c r="G7">
        <f t="shared" si="1"/>
        <v>1</v>
      </c>
    </row>
    <row r="8" spans="1:7" x14ac:dyDescent="0.45">
      <c r="B8" t="s">
        <v>27</v>
      </c>
      <c r="C8" t="s">
        <v>26</v>
      </c>
      <c r="D8">
        <v>73900</v>
      </c>
      <c r="E8">
        <v>12</v>
      </c>
      <c r="F8">
        <f t="shared" si="0"/>
        <v>886800</v>
      </c>
      <c r="G8">
        <f t="shared" si="1"/>
        <v>2</v>
      </c>
    </row>
    <row r="9" spans="1:7" x14ac:dyDescent="0.45">
      <c r="B9" t="s">
        <v>25</v>
      </c>
      <c r="C9" t="s">
        <v>24</v>
      </c>
      <c r="D9">
        <v>10900</v>
      </c>
      <c r="E9">
        <v>34</v>
      </c>
      <c r="F9">
        <f t="shared" si="0"/>
        <v>370600</v>
      </c>
      <c r="G9">
        <f t="shared" si="1"/>
        <v>6</v>
      </c>
    </row>
    <row r="10" spans="1:7" x14ac:dyDescent="0.45">
      <c r="A10" t="s">
        <v>23</v>
      </c>
      <c r="B10" t="s">
        <v>22</v>
      </c>
      <c r="C10" t="s">
        <v>21</v>
      </c>
      <c r="D10">
        <v>74600</v>
      </c>
      <c r="E10">
        <v>10</v>
      </c>
      <c r="F10">
        <f t="shared" si="0"/>
        <v>746000</v>
      </c>
      <c r="G10">
        <f t="shared" si="1"/>
        <v>3</v>
      </c>
    </row>
    <row r="11" spans="1:7" x14ac:dyDescent="0.45">
      <c r="B11" t="s">
        <v>20</v>
      </c>
      <c r="C11" t="s">
        <v>19</v>
      </c>
      <c r="D11">
        <v>19500</v>
      </c>
      <c r="E11">
        <v>19</v>
      </c>
      <c r="F11">
        <f t="shared" si="0"/>
        <v>370500</v>
      </c>
      <c r="G11">
        <f t="shared" si="1"/>
        <v>7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13"/>
  <sheetViews>
    <sheetView workbookViewId="0"/>
  </sheetViews>
  <sheetFormatPr defaultRowHeight="17" x14ac:dyDescent="0.45"/>
  <cols>
    <col min="2" max="3" width="12.33203125" bestFit="1" customWidth="1"/>
    <col min="4" max="4" width="14.33203125" bestFit="1" customWidth="1"/>
    <col min="5" max="5" width="10.4140625" bestFit="1" customWidth="1"/>
    <col min="6" max="6" width="12.33203125" bestFit="1" customWidth="1"/>
  </cols>
  <sheetData>
    <row r="1" spans="1:6" x14ac:dyDescent="0.45">
      <c r="A1" t="s">
        <v>10</v>
      </c>
    </row>
    <row r="3" spans="1:6" x14ac:dyDescent="0.45">
      <c r="A3" s="2" t="s">
        <v>2</v>
      </c>
      <c r="B3" s="2" t="s">
        <v>5</v>
      </c>
      <c r="C3" s="2" t="s">
        <v>6</v>
      </c>
      <c r="D3" s="2" t="s">
        <v>7</v>
      </c>
      <c r="E3" s="2" t="s">
        <v>8</v>
      </c>
      <c r="F3" s="2" t="s">
        <v>9</v>
      </c>
    </row>
    <row r="4" spans="1:6" x14ac:dyDescent="0.45">
      <c r="A4" s="2" t="s">
        <v>3</v>
      </c>
      <c r="B4" s="1">
        <v>450</v>
      </c>
      <c r="C4" s="1">
        <v>350</v>
      </c>
      <c r="D4" s="1">
        <v>450</v>
      </c>
      <c r="E4" s="1">
        <v>250</v>
      </c>
      <c r="F4" s="1">
        <v>300</v>
      </c>
    </row>
    <row r="5" spans="1:6" x14ac:dyDescent="0.45">
      <c r="A5" s="2" t="s">
        <v>4</v>
      </c>
      <c r="B5" s="1">
        <v>380</v>
      </c>
      <c r="C5" s="1">
        <v>350</v>
      </c>
      <c r="D5" s="1">
        <v>295</v>
      </c>
      <c r="E5" s="1">
        <v>350</v>
      </c>
      <c r="F5" s="1">
        <v>310</v>
      </c>
    </row>
    <row r="6" spans="1:6" x14ac:dyDescent="0.45">
      <c r="A6" s="2" t="s">
        <v>11</v>
      </c>
      <c r="B6" s="1">
        <v>250</v>
      </c>
      <c r="C6" s="1">
        <v>410</v>
      </c>
      <c r="D6" s="1">
        <v>350</v>
      </c>
      <c r="E6" s="1">
        <v>180</v>
      </c>
      <c r="F6" s="1">
        <v>190</v>
      </c>
    </row>
    <row r="7" spans="1:6" x14ac:dyDescent="0.45">
      <c r="A7" s="2" t="s">
        <v>16</v>
      </c>
      <c r="B7" s="1">
        <v>395</v>
      </c>
      <c r="C7" s="1">
        <v>280</v>
      </c>
      <c r="D7" s="1">
        <v>280</v>
      </c>
      <c r="E7" s="1">
        <v>190</v>
      </c>
      <c r="F7" s="1">
        <v>250</v>
      </c>
    </row>
    <row r="8" spans="1:6" x14ac:dyDescent="0.45">
      <c r="A8" s="2" t="s">
        <v>12</v>
      </c>
      <c r="B8" s="1">
        <v>410</v>
      </c>
      <c r="C8" s="1">
        <v>150</v>
      </c>
      <c r="D8" s="1">
        <v>290</v>
      </c>
      <c r="E8" s="1">
        <v>240</v>
      </c>
      <c r="F8" s="1">
        <v>180</v>
      </c>
    </row>
    <row r="9" spans="1:6" x14ac:dyDescent="0.45">
      <c r="A9" s="2" t="s">
        <v>17</v>
      </c>
      <c r="B9" s="1">
        <v>260</v>
      </c>
      <c r="C9" s="1">
        <v>300</v>
      </c>
      <c r="D9" s="1">
        <v>250</v>
      </c>
      <c r="E9" s="1">
        <v>360</v>
      </c>
      <c r="F9" s="1">
        <v>190</v>
      </c>
    </row>
    <row r="10" spans="1:6" x14ac:dyDescent="0.45">
      <c r="A10" s="2" t="s">
        <v>13</v>
      </c>
      <c r="B10" s="1">
        <v>300</v>
      </c>
      <c r="C10" s="1">
        <v>180</v>
      </c>
      <c r="D10" s="1">
        <v>180</v>
      </c>
      <c r="E10" s="1">
        <v>120</v>
      </c>
      <c r="F10" s="1">
        <v>175</v>
      </c>
    </row>
    <row r="11" spans="1:6" x14ac:dyDescent="0.45">
      <c r="A11" s="2" t="s">
        <v>18</v>
      </c>
      <c r="B11" s="1">
        <v>290</v>
      </c>
      <c r="C11" s="1">
        <v>250</v>
      </c>
      <c r="D11" s="1">
        <v>270</v>
      </c>
      <c r="E11" s="1">
        <v>320</v>
      </c>
      <c r="F11" s="1">
        <v>160</v>
      </c>
    </row>
    <row r="12" spans="1:6" x14ac:dyDescent="0.45">
      <c r="A12" s="2" t="s">
        <v>14</v>
      </c>
      <c r="B12" s="1">
        <v>280</v>
      </c>
      <c r="C12" s="1">
        <v>230</v>
      </c>
      <c r="D12" s="1">
        <v>250</v>
      </c>
      <c r="E12" s="1">
        <v>180</v>
      </c>
      <c r="F12" s="1">
        <v>155</v>
      </c>
    </row>
    <row r="13" spans="1:6" x14ac:dyDescent="0.45">
      <c r="A13" s="2" t="s">
        <v>15</v>
      </c>
      <c r="B13" s="1">
        <v>200</v>
      </c>
      <c r="C13" s="1">
        <v>310</v>
      </c>
      <c r="D13" s="1">
        <v>280</v>
      </c>
      <c r="E13" s="1">
        <v>190</v>
      </c>
      <c r="F13" s="1">
        <v>195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16"/>
  <sheetViews>
    <sheetView workbookViewId="0"/>
  </sheetViews>
  <sheetFormatPr defaultRowHeight="17" x14ac:dyDescent="0.45"/>
  <cols>
    <col min="4" max="4" width="10.4140625" bestFit="1" customWidth="1"/>
    <col min="5" max="5" width="9.58203125" customWidth="1"/>
    <col min="6" max="6" width="10.4140625" bestFit="1" customWidth="1"/>
    <col min="7" max="8" width="10.4140625" customWidth="1"/>
    <col min="9" max="9" width="9.58203125" customWidth="1"/>
  </cols>
  <sheetData>
    <row r="1" spans="1:10" x14ac:dyDescent="0.45">
      <c r="A1" t="s">
        <v>120</v>
      </c>
    </row>
    <row r="2" spans="1:10" x14ac:dyDescent="0.45">
      <c r="A2" s="9" t="s">
        <v>105</v>
      </c>
      <c r="B2" s="9" t="s">
        <v>106</v>
      </c>
      <c r="C2" s="16" t="s">
        <v>123</v>
      </c>
      <c r="D2" s="9" t="s">
        <v>107</v>
      </c>
      <c r="E2" s="16" t="s">
        <v>131</v>
      </c>
      <c r="F2" s="9" t="s">
        <v>108</v>
      </c>
      <c r="G2" s="16" t="s">
        <v>133</v>
      </c>
      <c r="H2" s="16" t="s">
        <v>135</v>
      </c>
      <c r="I2" s="17" t="s">
        <v>134</v>
      </c>
      <c r="J2" s="17" t="s">
        <v>0</v>
      </c>
    </row>
    <row r="3" spans="1:10" x14ac:dyDescent="0.45">
      <c r="A3" s="9" t="s">
        <v>109</v>
      </c>
      <c r="B3" s="9" t="s">
        <v>110</v>
      </c>
      <c r="C3" s="16" t="s">
        <v>127</v>
      </c>
      <c r="D3" s="9" t="s">
        <v>111</v>
      </c>
      <c r="E3" s="16">
        <v>15</v>
      </c>
      <c r="F3" s="9">
        <v>98.2</v>
      </c>
      <c r="G3" s="19">
        <v>0.68773148148148155</v>
      </c>
      <c r="H3" s="19">
        <v>0.74699074074074068</v>
      </c>
      <c r="I3" s="20"/>
      <c r="J3" s="9"/>
    </row>
    <row r="4" spans="1:10" x14ac:dyDescent="0.45">
      <c r="A4" s="9" t="s">
        <v>112</v>
      </c>
      <c r="B4" s="9" t="s">
        <v>113</v>
      </c>
      <c r="C4" s="16" t="s">
        <v>128</v>
      </c>
      <c r="D4" s="9" t="s">
        <v>114</v>
      </c>
      <c r="E4" s="16">
        <v>13</v>
      </c>
      <c r="F4" s="9">
        <v>78.599999999999994</v>
      </c>
      <c r="G4" s="19">
        <v>0.34756944444444443</v>
      </c>
      <c r="H4" s="19">
        <v>0.80578703703703702</v>
      </c>
      <c r="I4" s="20"/>
      <c r="J4" s="16"/>
    </row>
    <row r="5" spans="1:10" x14ac:dyDescent="0.45">
      <c r="A5" s="9" t="s">
        <v>115</v>
      </c>
      <c r="B5" s="9" t="s">
        <v>116</v>
      </c>
      <c r="C5" s="16" t="s">
        <v>124</v>
      </c>
      <c r="D5" s="9" t="s">
        <v>114</v>
      </c>
      <c r="E5" s="16">
        <v>10</v>
      </c>
      <c r="F5" s="9">
        <v>85.4</v>
      </c>
      <c r="G5" s="19">
        <v>0.47939814814814818</v>
      </c>
      <c r="H5" s="19">
        <v>0.77129629629629637</v>
      </c>
      <c r="I5" s="20"/>
      <c r="J5" s="16"/>
    </row>
    <row r="6" spans="1:10" x14ac:dyDescent="0.45">
      <c r="A6" s="9" t="s">
        <v>117</v>
      </c>
      <c r="B6" s="9" t="s">
        <v>118</v>
      </c>
      <c r="C6" s="16" t="s">
        <v>125</v>
      </c>
      <c r="D6" s="9" t="s">
        <v>114</v>
      </c>
      <c r="E6" s="16">
        <v>12</v>
      </c>
      <c r="F6" s="9">
        <v>85.9</v>
      </c>
      <c r="G6" s="19">
        <v>0.51435185185185184</v>
      </c>
      <c r="H6" s="19">
        <v>0.58287037037037037</v>
      </c>
      <c r="I6" s="20"/>
      <c r="J6" s="16"/>
    </row>
    <row r="7" spans="1:10" x14ac:dyDescent="0.45">
      <c r="A7" s="9" t="s">
        <v>109</v>
      </c>
      <c r="B7" s="9" t="s">
        <v>110</v>
      </c>
      <c r="C7" s="16" t="s">
        <v>126</v>
      </c>
      <c r="D7" s="9" t="s">
        <v>111</v>
      </c>
      <c r="E7" s="16">
        <v>9</v>
      </c>
      <c r="F7" s="9">
        <v>79.099999999999994</v>
      </c>
      <c r="G7" s="19">
        <v>0.39606481481481487</v>
      </c>
      <c r="H7" s="19">
        <v>0.72268518518518521</v>
      </c>
      <c r="I7" s="20"/>
      <c r="J7" s="16"/>
    </row>
    <row r="8" spans="1:10" x14ac:dyDescent="0.45">
      <c r="A8" s="9" t="s">
        <v>117</v>
      </c>
      <c r="B8" s="9" t="s">
        <v>118</v>
      </c>
      <c r="C8" s="16" t="s">
        <v>129</v>
      </c>
      <c r="D8" s="9" t="s">
        <v>114</v>
      </c>
      <c r="E8" s="16">
        <v>7</v>
      </c>
      <c r="F8" s="9">
        <v>95.4</v>
      </c>
      <c r="G8" s="19">
        <v>0.56543981481481487</v>
      </c>
      <c r="H8" s="19">
        <v>0.85081018518518514</v>
      </c>
      <c r="I8" s="20"/>
      <c r="J8" s="16"/>
    </row>
    <row r="9" spans="1:10" x14ac:dyDescent="0.45">
      <c r="A9" s="9" t="s">
        <v>109</v>
      </c>
      <c r="B9" s="9" t="s">
        <v>110</v>
      </c>
      <c r="C9" s="16" t="s">
        <v>130</v>
      </c>
      <c r="D9" s="9" t="s">
        <v>111</v>
      </c>
      <c r="E9" s="16">
        <v>18</v>
      </c>
      <c r="F9" s="9">
        <v>93.2</v>
      </c>
      <c r="G9" s="19">
        <v>0.40370370370370368</v>
      </c>
      <c r="H9" s="19">
        <v>0.77106481481481481</v>
      </c>
      <c r="I9" s="20"/>
      <c r="J9" s="16"/>
    </row>
    <row r="11" spans="1:10" x14ac:dyDescent="0.45">
      <c r="A11" s="9" t="s">
        <v>105</v>
      </c>
      <c r="B11" s="9" t="s">
        <v>109</v>
      </c>
      <c r="C11" s="9" t="s">
        <v>115</v>
      </c>
      <c r="D11" s="9" t="s">
        <v>112</v>
      </c>
      <c r="E11" s="9" t="s">
        <v>117</v>
      </c>
      <c r="G11" s="22" t="s">
        <v>121</v>
      </c>
      <c r="H11" s="22"/>
    </row>
    <row r="12" spans="1:10" x14ac:dyDescent="0.45">
      <c r="A12" s="17" t="s">
        <v>119</v>
      </c>
      <c r="B12" s="9"/>
      <c r="C12" s="9"/>
      <c r="D12" s="9"/>
      <c r="E12" s="9"/>
      <c r="G12" s="21"/>
      <c r="H12" s="21"/>
    </row>
    <row r="14" spans="1:10" x14ac:dyDescent="0.45">
      <c r="A14" s="18" t="s">
        <v>122</v>
      </c>
      <c r="G14" s="22" t="s">
        <v>132</v>
      </c>
      <c r="H14" s="22"/>
    </row>
    <row r="15" spans="1:10" x14ac:dyDescent="0.45">
      <c r="A15" s="16"/>
      <c r="B15" s="16"/>
      <c r="G15" s="21"/>
      <c r="H15" s="21"/>
    </row>
    <row r="16" spans="1:10" x14ac:dyDescent="0.45">
      <c r="A16" s="16"/>
      <c r="B16" s="16"/>
    </row>
  </sheetData>
  <mergeCells count="4">
    <mergeCell ref="G12:H12"/>
    <mergeCell ref="G11:H11"/>
    <mergeCell ref="G15:H15"/>
    <mergeCell ref="G14:H14"/>
  </mergeCells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9"/>
  <sheetViews>
    <sheetView workbookViewId="0"/>
  </sheetViews>
  <sheetFormatPr defaultRowHeight="17" x14ac:dyDescent="0.45"/>
  <sheetData>
    <row r="1" spans="1:6" ht="21" x14ac:dyDescent="0.45">
      <c r="A1" s="23" t="s">
        <v>45</v>
      </c>
      <c r="B1" s="23"/>
      <c r="C1" s="23"/>
      <c r="D1" s="23"/>
      <c r="E1" s="23"/>
      <c r="F1" s="23"/>
    </row>
    <row r="3" spans="1:6" x14ac:dyDescent="0.45">
      <c r="A3" s="2" t="s">
        <v>46</v>
      </c>
      <c r="B3" s="2" t="s">
        <v>47</v>
      </c>
      <c r="C3" s="2" t="s">
        <v>48</v>
      </c>
      <c r="D3" s="2" t="s">
        <v>49</v>
      </c>
      <c r="E3" s="2" t="s">
        <v>50</v>
      </c>
      <c r="F3" s="2" t="s">
        <v>51</v>
      </c>
    </row>
    <row r="4" spans="1:6" x14ac:dyDescent="0.45">
      <c r="A4" s="2" t="s">
        <v>52</v>
      </c>
      <c r="B4" s="2" t="s">
        <v>53</v>
      </c>
      <c r="C4" s="2">
        <v>1705</v>
      </c>
      <c r="D4" s="2">
        <v>1977</v>
      </c>
      <c r="E4" s="2">
        <v>13</v>
      </c>
      <c r="F4" s="3">
        <f>E4/D4</f>
        <v>6.5756196256954984E-3</v>
      </c>
    </row>
    <row r="5" spans="1:6" x14ac:dyDescent="0.45">
      <c r="A5" s="2" t="s">
        <v>54</v>
      </c>
      <c r="B5" s="2" t="s">
        <v>55</v>
      </c>
      <c r="C5" s="2">
        <v>2005</v>
      </c>
      <c r="D5" s="2">
        <v>1947</v>
      </c>
      <c r="E5" s="2">
        <v>30</v>
      </c>
      <c r="F5" s="3">
        <f t="shared" ref="F5:F19" si="0">E5/D5</f>
        <v>1.5408320493066256E-2</v>
      </c>
    </row>
    <row r="6" spans="1:6" x14ac:dyDescent="0.45">
      <c r="A6" s="2" t="s">
        <v>56</v>
      </c>
      <c r="B6" s="2" t="s">
        <v>55</v>
      </c>
      <c r="C6" s="2">
        <v>1705</v>
      </c>
      <c r="D6" s="2">
        <v>1777</v>
      </c>
      <c r="E6" s="2">
        <v>22</v>
      </c>
      <c r="F6" s="3">
        <f t="shared" si="0"/>
        <v>1.2380416432189083E-2</v>
      </c>
    </row>
    <row r="7" spans="1:6" x14ac:dyDescent="0.45">
      <c r="A7" s="2" t="s">
        <v>57</v>
      </c>
      <c r="B7" s="2" t="s">
        <v>53</v>
      </c>
      <c r="C7" s="2">
        <v>1505</v>
      </c>
      <c r="D7" s="2">
        <v>1620</v>
      </c>
      <c r="E7" s="2">
        <v>17</v>
      </c>
      <c r="F7" s="3">
        <f t="shared" si="0"/>
        <v>1.0493827160493827E-2</v>
      </c>
    </row>
    <row r="8" spans="1:6" x14ac:dyDescent="0.45">
      <c r="A8" s="2" t="s">
        <v>52</v>
      </c>
      <c r="B8" s="2" t="s">
        <v>53</v>
      </c>
      <c r="C8" s="2">
        <v>2005</v>
      </c>
      <c r="D8" s="2">
        <v>2175</v>
      </c>
      <c r="E8" s="2">
        <v>6</v>
      </c>
      <c r="F8" s="3">
        <f t="shared" si="0"/>
        <v>2.7586206896551722E-3</v>
      </c>
    </row>
    <row r="9" spans="1:6" x14ac:dyDescent="0.45">
      <c r="A9" s="2" t="s">
        <v>56</v>
      </c>
      <c r="B9" s="2" t="s">
        <v>55</v>
      </c>
      <c r="C9" s="2">
        <v>2005</v>
      </c>
      <c r="D9" s="2">
        <v>1926</v>
      </c>
      <c r="E9" s="2">
        <v>9</v>
      </c>
      <c r="F9" s="3">
        <f t="shared" si="0"/>
        <v>4.6728971962616819E-3</v>
      </c>
    </row>
    <row r="10" spans="1:6" x14ac:dyDescent="0.45">
      <c r="A10" s="2" t="s">
        <v>54</v>
      </c>
      <c r="B10" s="2" t="s">
        <v>55</v>
      </c>
      <c r="C10" s="2">
        <v>2005</v>
      </c>
      <c r="D10" s="2">
        <v>2194</v>
      </c>
      <c r="E10" s="2">
        <v>23</v>
      </c>
      <c r="F10" s="3">
        <f t="shared" si="0"/>
        <v>1.0483135824977211E-2</v>
      </c>
    </row>
    <row r="11" spans="1:6" x14ac:dyDescent="0.45">
      <c r="A11" s="2" t="s">
        <v>56</v>
      </c>
      <c r="B11" s="2" t="s">
        <v>55</v>
      </c>
      <c r="C11" s="2">
        <v>2005</v>
      </c>
      <c r="D11" s="2">
        <v>1720</v>
      </c>
      <c r="E11" s="2">
        <v>29</v>
      </c>
      <c r="F11" s="3">
        <f t="shared" si="0"/>
        <v>1.6860465116279071E-2</v>
      </c>
    </row>
    <row r="12" spans="1:6" x14ac:dyDescent="0.45">
      <c r="A12" s="2" t="s">
        <v>52</v>
      </c>
      <c r="B12" s="2" t="s">
        <v>53</v>
      </c>
      <c r="C12" s="2">
        <v>2205</v>
      </c>
      <c r="D12" s="2">
        <v>2041</v>
      </c>
      <c r="E12" s="2">
        <v>15</v>
      </c>
      <c r="F12" s="3">
        <f t="shared" si="0"/>
        <v>7.3493385595296426E-3</v>
      </c>
    </row>
    <row r="13" spans="1:6" x14ac:dyDescent="0.45">
      <c r="A13" s="2" t="s">
        <v>56</v>
      </c>
      <c r="B13" s="2" t="s">
        <v>55</v>
      </c>
      <c r="C13" s="2">
        <v>1905</v>
      </c>
      <c r="D13" s="2">
        <v>1726</v>
      </c>
      <c r="E13" s="2">
        <v>7</v>
      </c>
      <c r="F13" s="3">
        <f t="shared" si="0"/>
        <v>4.0556199304750866E-3</v>
      </c>
    </row>
    <row r="14" spans="1:6" x14ac:dyDescent="0.45">
      <c r="A14" s="2" t="s">
        <v>57</v>
      </c>
      <c r="B14" s="2" t="s">
        <v>53</v>
      </c>
      <c r="C14" s="2">
        <v>1705</v>
      </c>
      <c r="D14" s="2">
        <v>1755</v>
      </c>
      <c r="E14" s="2">
        <v>15</v>
      </c>
      <c r="F14" s="3">
        <f t="shared" si="0"/>
        <v>8.5470085470085479E-3</v>
      </c>
    </row>
    <row r="15" spans="1:6" x14ac:dyDescent="0.45">
      <c r="A15" s="2" t="s">
        <v>54</v>
      </c>
      <c r="B15" s="2" t="s">
        <v>55</v>
      </c>
      <c r="C15" s="2">
        <v>2205</v>
      </c>
      <c r="D15" s="2">
        <v>2077</v>
      </c>
      <c r="E15" s="2">
        <v>20</v>
      </c>
      <c r="F15" s="3">
        <f t="shared" si="0"/>
        <v>9.6292729898892638E-3</v>
      </c>
    </row>
    <row r="16" spans="1:6" x14ac:dyDescent="0.45">
      <c r="A16" s="2" t="s">
        <v>52</v>
      </c>
      <c r="B16" s="2" t="s">
        <v>53</v>
      </c>
      <c r="C16" s="2">
        <v>2005</v>
      </c>
      <c r="D16" s="2">
        <v>2062</v>
      </c>
      <c r="E16" s="2">
        <v>12</v>
      </c>
      <c r="F16" s="3">
        <f t="shared" si="0"/>
        <v>5.8195926285160042E-3</v>
      </c>
    </row>
    <row r="17" spans="1:6" x14ac:dyDescent="0.45">
      <c r="A17" s="2" t="s">
        <v>54</v>
      </c>
      <c r="B17" s="2" t="s">
        <v>55</v>
      </c>
      <c r="C17" s="2">
        <v>2005</v>
      </c>
      <c r="D17" s="2">
        <v>2114</v>
      </c>
      <c r="E17" s="2">
        <v>7</v>
      </c>
      <c r="F17" s="3">
        <f t="shared" si="0"/>
        <v>3.3112582781456954E-3</v>
      </c>
    </row>
    <row r="18" spans="1:6" x14ac:dyDescent="0.45">
      <c r="A18" s="2" t="s">
        <v>57</v>
      </c>
      <c r="B18" s="2" t="s">
        <v>53</v>
      </c>
      <c r="C18" s="2">
        <v>1705</v>
      </c>
      <c r="D18" s="2">
        <v>1757</v>
      </c>
      <c r="E18" s="2">
        <v>8</v>
      </c>
      <c r="F18" s="3">
        <f t="shared" si="0"/>
        <v>4.5532157085941948E-3</v>
      </c>
    </row>
    <row r="19" spans="1:6" x14ac:dyDescent="0.45">
      <c r="A19" s="2" t="s">
        <v>58</v>
      </c>
      <c r="B19" s="2" t="s">
        <v>53</v>
      </c>
      <c r="C19" s="2">
        <v>1500</v>
      </c>
      <c r="D19" s="2">
        <v>1350</v>
      </c>
      <c r="E19" s="2">
        <v>15</v>
      </c>
      <c r="F19" s="3">
        <f t="shared" si="0"/>
        <v>1.1111111111111112E-2</v>
      </c>
    </row>
  </sheetData>
  <mergeCells count="1">
    <mergeCell ref="A1:F1"/>
  </mergeCells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I16"/>
  <sheetViews>
    <sheetView workbookViewId="0"/>
  </sheetViews>
  <sheetFormatPr defaultRowHeight="17" x14ac:dyDescent="0.45"/>
  <sheetData>
    <row r="1" spans="1:9" ht="21" x14ac:dyDescent="0.45">
      <c r="A1" s="23" t="s">
        <v>59</v>
      </c>
      <c r="B1" s="23"/>
      <c r="C1" s="23"/>
      <c r="D1" s="23"/>
      <c r="E1" s="23"/>
      <c r="F1" s="23"/>
      <c r="G1" s="23"/>
    </row>
    <row r="2" spans="1:9" x14ac:dyDescent="0.45">
      <c r="G2" s="4" t="s">
        <v>60</v>
      </c>
    </row>
    <row r="3" spans="1:9" x14ac:dyDescent="0.45">
      <c r="A3" s="2" t="s">
        <v>61</v>
      </c>
      <c r="B3" s="2" t="s">
        <v>62</v>
      </c>
      <c r="C3" s="2" t="s">
        <v>63</v>
      </c>
      <c r="D3" s="2" t="s">
        <v>64</v>
      </c>
      <c r="E3" s="2" t="s">
        <v>65</v>
      </c>
      <c r="F3" s="2" t="s">
        <v>66</v>
      </c>
      <c r="G3" s="2" t="s">
        <v>67</v>
      </c>
      <c r="I3" s="2" t="s">
        <v>68</v>
      </c>
    </row>
    <row r="4" spans="1:9" x14ac:dyDescent="0.45">
      <c r="A4" s="24" t="s">
        <v>69</v>
      </c>
      <c r="B4" s="2" t="s">
        <v>70</v>
      </c>
      <c r="C4" s="5">
        <v>120</v>
      </c>
      <c r="D4" s="5">
        <v>72</v>
      </c>
      <c r="E4" s="5">
        <v>220</v>
      </c>
      <c r="F4" s="5">
        <f>D4*E4</f>
        <v>15840</v>
      </c>
      <c r="G4" s="6">
        <f>F4*$I$4</f>
        <v>3168</v>
      </c>
      <c r="I4" s="7">
        <v>0.2</v>
      </c>
    </row>
    <row r="5" spans="1:9" x14ac:dyDescent="0.45">
      <c r="A5" s="25"/>
      <c r="B5" s="2" t="s">
        <v>71</v>
      </c>
      <c r="C5" s="5">
        <v>150</v>
      </c>
      <c r="D5" s="5">
        <v>128</v>
      </c>
      <c r="E5" s="5">
        <v>110</v>
      </c>
      <c r="F5" s="5">
        <f t="shared" ref="F5:F15" si="0">D5*E5</f>
        <v>14080</v>
      </c>
      <c r="G5" s="6">
        <f t="shared" ref="G5:G15" si="1">F5*$I$4</f>
        <v>2816</v>
      </c>
    </row>
    <row r="6" spans="1:9" x14ac:dyDescent="0.45">
      <c r="A6" s="25"/>
      <c r="B6" s="2" t="s">
        <v>72</v>
      </c>
      <c r="C6" s="5">
        <v>200</v>
      </c>
      <c r="D6" s="5">
        <v>142</v>
      </c>
      <c r="E6" s="5">
        <v>130</v>
      </c>
      <c r="F6" s="5">
        <f t="shared" si="0"/>
        <v>18460</v>
      </c>
      <c r="G6" s="6">
        <f t="shared" si="1"/>
        <v>3692</v>
      </c>
    </row>
    <row r="7" spans="1:9" x14ac:dyDescent="0.45">
      <c r="A7" s="26"/>
      <c r="B7" s="2" t="s">
        <v>73</v>
      </c>
      <c r="C7" s="5">
        <v>120</v>
      </c>
      <c r="D7" s="5">
        <v>84</v>
      </c>
      <c r="E7" s="5">
        <v>125</v>
      </c>
      <c r="F7" s="5">
        <f t="shared" si="0"/>
        <v>10500</v>
      </c>
      <c r="G7" s="6">
        <f t="shared" si="1"/>
        <v>2100</v>
      </c>
    </row>
    <row r="8" spans="1:9" x14ac:dyDescent="0.45">
      <c r="A8" s="24" t="s">
        <v>74</v>
      </c>
      <c r="B8" s="2" t="s">
        <v>70</v>
      </c>
      <c r="C8" s="5">
        <v>150</v>
      </c>
      <c r="D8" s="5">
        <v>99</v>
      </c>
      <c r="E8" s="5">
        <v>220</v>
      </c>
      <c r="F8" s="5">
        <f t="shared" si="0"/>
        <v>21780</v>
      </c>
      <c r="G8" s="6">
        <f t="shared" si="1"/>
        <v>4356</v>
      </c>
    </row>
    <row r="9" spans="1:9" x14ac:dyDescent="0.45">
      <c r="A9" s="25"/>
      <c r="B9" s="2" t="s">
        <v>71</v>
      </c>
      <c r="C9" s="5">
        <v>200</v>
      </c>
      <c r="D9" s="5">
        <v>111</v>
      </c>
      <c r="E9" s="5">
        <v>110</v>
      </c>
      <c r="F9" s="5">
        <f t="shared" si="0"/>
        <v>12210</v>
      </c>
      <c r="G9" s="6">
        <f t="shared" si="1"/>
        <v>2442</v>
      </c>
    </row>
    <row r="10" spans="1:9" x14ac:dyDescent="0.45">
      <c r="A10" s="25"/>
      <c r="B10" s="2" t="s">
        <v>72</v>
      </c>
      <c r="C10" s="5">
        <v>250</v>
      </c>
      <c r="D10" s="5">
        <v>201</v>
      </c>
      <c r="E10" s="5">
        <v>130</v>
      </c>
      <c r="F10" s="5">
        <f t="shared" si="0"/>
        <v>26130</v>
      </c>
      <c r="G10" s="6">
        <f t="shared" si="1"/>
        <v>5226</v>
      </c>
    </row>
    <row r="11" spans="1:9" x14ac:dyDescent="0.45">
      <c r="A11" s="26"/>
      <c r="B11" s="2" t="s">
        <v>73</v>
      </c>
      <c r="C11" s="5">
        <v>200</v>
      </c>
      <c r="D11" s="5">
        <v>139</v>
      </c>
      <c r="E11" s="5">
        <v>125</v>
      </c>
      <c r="F11" s="5">
        <f t="shared" si="0"/>
        <v>17375</v>
      </c>
      <c r="G11" s="6">
        <f t="shared" si="1"/>
        <v>3475</v>
      </c>
    </row>
    <row r="12" spans="1:9" x14ac:dyDescent="0.45">
      <c r="A12" s="24" t="s">
        <v>75</v>
      </c>
      <c r="B12" s="2" t="s">
        <v>70</v>
      </c>
      <c r="C12" s="5">
        <v>150</v>
      </c>
      <c r="D12" s="5">
        <v>109</v>
      </c>
      <c r="E12" s="5">
        <v>220</v>
      </c>
      <c r="F12" s="5">
        <f t="shared" si="0"/>
        <v>23980</v>
      </c>
      <c r="G12" s="6">
        <f t="shared" si="1"/>
        <v>4796</v>
      </c>
    </row>
    <row r="13" spans="1:9" x14ac:dyDescent="0.45">
      <c r="A13" s="25"/>
      <c r="B13" s="2" t="s">
        <v>71</v>
      </c>
      <c r="C13" s="5">
        <v>120</v>
      </c>
      <c r="D13" s="5">
        <v>92</v>
      </c>
      <c r="E13" s="5">
        <v>110</v>
      </c>
      <c r="F13" s="5">
        <f t="shared" si="0"/>
        <v>10120</v>
      </c>
      <c r="G13" s="6">
        <f t="shared" si="1"/>
        <v>2024</v>
      </c>
    </row>
    <row r="14" spans="1:9" x14ac:dyDescent="0.45">
      <c r="A14" s="25"/>
      <c r="B14" s="2" t="s">
        <v>72</v>
      </c>
      <c r="C14" s="5">
        <v>150</v>
      </c>
      <c r="D14" s="5">
        <v>77</v>
      </c>
      <c r="E14" s="5">
        <v>130</v>
      </c>
      <c r="F14" s="5">
        <f t="shared" si="0"/>
        <v>10010</v>
      </c>
      <c r="G14" s="6">
        <f t="shared" si="1"/>
        <v>2002</v>
      </c>
    </row>
    <row r="15" spans="1:9" x14ac:dyDescent="0.45">
      <c r="A15" s="26"/>
      <c r="B15" s="2" t="s">
        <v>73</v>
      </c>
      <c r="C15" s="5">
        <v>200</v>
      </c>
      <c r="D15" s="5">
        <v>175</v>
      </c>
      <c r="E15" s="5">
        <v>235</v>
      </c>
      <c r="F15" s="5">
        <f t="shared" si="0"/>
        <v>41125</v>
      </c>
      <c r="G15" s="6">
        <f t="shared" si="1"/>
        <v>8225</v>
      </c>
    </row>
    <row r="16" spans="1:9" x14ac:dyDescent="0.45">
      <c r="A16" s="21" t="s">
        <v>76</v>
      </c>
      <c r="B16" s="21"/>
      <c r="C16" s="6">
        <f>SUM(C4:C15)</f>
        <v>2010</v>
      </c>
      <c r="D16" s="6">
        <f>SUM(D4:D15)</f>
        <v>1429</v>
      </c>
      <c r="E16" s="6">
        <f>SUM(E4:E15)</f>
        <v>1865</v>
      </c>
      <c r="F16" s="6">
        <f>SUM(F4:F15)</f>
        <v>221610</v>
      </c>
      <c r="G16" s="6">
        <f>SUM(G4:G15)</f>
        <v>44322</v>
      </c>
    </row>
  </sheetData>
  <mergeCells count="5">
    <mergeCell ref="A16:B16"/>
    <mergeCell ref="A1:G1"/>
    <mergeCell ref="A4:A7"/>
    <mergeCell ref="A8:A11"/>
    <mergeCell ref="A12:A15"/>
  </mergeCells>
  <phoneticPr fontId="1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F11"/>
  <sheetViews>
    <sheetView workbookViewId="0"/>
  </sheetViews>
  <sheetFormatPr defaultRowHeight="17" x14ac:dyDescent="0.45"/>
  <cols>
    <col min="1" max="1" width="19.6640625" bestFit="1" customWidth="1"/>
    <col min="2" max="4" width="8.6640625" style="10"/>
    <col min="5" max="5" width="10.58203125" style="10" customWidth="1"/>
  </cols>
  <sheetData>
    <row r="1" spans="1:6" x14ac:dyDescent="0.45">
      <c r="A1" t="s">
        <v>90</v>
      </c>
    </row>
    <row r="2" spans="1:6" x14ac:dyDescent="0.45">
      <c r="A2" s="8" t="s">
        <v>43</v>
      </c>
      <c r="B2" s="5" t="s">
        <v>79</v>
      </c>
      <c r="C2" s="5" t="s">
        <v>80</v>
      </c>
      <c r="D2" s="5" t="s">
        <v>40</v>
      </c>
      <c r="E2" s="5" t="s">
        <v>77</v>
      </c>
      <c r="F2" s="8" t="s">
        <v>78</v>
      </c>
    </row>
    <row r="3" spans="1:6" x14ac:dyDescent="0.45">
      <c r="A3" s="1" t="s">
        <v>81</v>
      </c>
      <c r="B3" s="6">
        <v>24450</v>
      </c>
      <c r="C3" s="6">
        <v>150</v>
      </c>
      <c r="D3" s="6">
        <v>120</v>
      </c>
      <c r="E3" s="6">
        <f>B3*D3</f>
        <v>2934000</v>
      </c>
      <c r="F3" s="1"/>
    </row>
    <row r="4" spans="1:6" x14ac:dyDescent="0.45">
      <c r="A4" s="1" t="s">
        <v>82</v>
      </c>
      <c r="B4" s="6">
        <v>35000</v>
      </c>
      <c r="C4" s="6">
        <v>100</v>
      </c>
      <c r="D4" s="6">
        <v>110</v>
      </c>
      <c r="E4" s="6">
        <f t="shared" ref="E4:E11" si="0">B4*D4</f>
        <v>3850000</v>
      </c>
      <c r="F4" s="1"/>
    </row>
    <row r="5" spans="1:6" x14ac:dyDescent="0.45">
      <c r="A5" s="1" t="s">
        <v>83</v>
      </c>
      <c r="B5" s="6">
        <v>23900</v>
      </c>
      <c r="C5" s="6">
        <v>65</v>
      </c>
      <c r="D5" s="6">
        <v>58</v>
      </c>
      <c r="E5" s="6">
        <f t="shared" si="0"/>
        <v>1386200</v>
      </c>
      <c r="F5" s="1"/>
    </row>
    <row r="6" spans="1:6" x14ac:dyDescent="0.45">
      <c r="A6" s="1" t="s">
        <v>84</v>
      </c>
      <c r="B6" s="6">
        <v>49100</v>
      </c>
      <c r="C6" s="6">
        <v>50</v>
      </c>
      <c r="D6" s="6">
        <v>37</v>
      </c>
      <c r="E6" s="6">
        <f t="shared" si="0"/>
        <v>1816700</v>
      </c>
      <c r="F6" s="1"/>
    </row>
    <row r="7" spans="1:6" x14ac:dyDescent="0.45">
      <c r="A7" s="1" t="s">
        <v>85</v>
      </c>
      <c r="B7" s="6">
        <v>25630</v>
      </c>
      <c r="C7" s="6">
        <v>250</v>
      </c>
      <c r="D7" s="6">
        <v>350</v>
      </c>
      <c r="E7" s="6">
        <f t="shared" si="0"/>
        <v>8970500</v>
      </c>
      <c r="F7" s="1"/>
    </row>
    <row r="8" spans="1:6" x14ac:dyDescent="0.45">
      <c r="A8" s="1" t="s">
        <v>86</v>
      </c>
      <c r="B8" s="6">
        <v>12890</v>
      </c>
      <c r="C8" s="6">
        <v>80</v>
      </c>
      <c r="D8" s="6">
        <v>100</v>
      </c>
      <c r="E8" s="6">
        <f t="shared" si="0"/>
        <v>1289000</v>
      </c>
      <c r="F8" s="1"/>
    </row>
    <row r="9" spans="1:6" x14ac:dyDescent="0.45">
      <c r="A9" s="1" t="s">
        <v>87</v>
      </c>
      <c r="B9" s="6">
        <v>59000</v>
      </c>
      <c r="C9" s="6">
        <v>40</v>
      </c>
      <c r="D9" s="6">
        <v>26</v>
      </c>
      <c r="E9" s="6">
        <f t="shared" si="0"/>
        <v>1534000</v>
      </c>
      <c r="F9" s="1"/>
    </row>
    <row r="10" spans="1:6" x14ac:dyDescent="0.45">
      <c r="A10" s="1" t="s">
        <v>88</v>
      </c>
      <c r="B10" s="6">
        <v>190</v>
      </c>
      <c r="C10" s="6">
        <v>1000</v>
      </c>
      <c r="D10" s="6">
        <v>1190</v>
      </c>
      <c r="E10" s="6">
        <f t="shared" si="0"/>
        <v>226100</v>
      </c>
      <c r="F10" s="1"/>
    </row>
    <row r="11" spans="1:6" x14ac:dyDescent="0.45">
      <c r="A11" s="1" t="s">
        <v>89</v>
      </c>
      <c r="B11" s="6">
        <v>33850</v>
      </c>
      <c r="C11" s="6">
        <v>95</v>
      </c>
      <c r="D11" s="6">
        <v>87</v>
      </c>
      <c r="E11" s="6">
        <f t="shared" si="0"/>
        <v>2944950</v>
      </c>
      <c r="F11" s="1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I8"/>
  <sheetViews>
    <sheetView workbookViewId="0"/>
  </sheetViews>
  <sheetFormatPr defaultRowHeight="17" x14ac:dyDescent="0.45"/>
  <sheetData>
    <row r="1" spans="1:9" x14ac:dyDescent="0.45">
      <c r="A1" s="15" t="s">
        <v>103</v>
      </c>
    </row>
    <row r="3" spans="1:9" x14ac:dyDescent="0.45">
      <c r="A3" s="11"/>
      <c r="B3" s="12" t="s">
        <v>91</v>
      </c>
      <c r="C3" s="12" t="s">
        <v>92</v>
      </c>
      <c r="D3" s="12" t="s">
        <v>93</v>
      </c>
      <c r="E3" s="12" t="s">
        <v>94</v>
      </c>
      <c r="F3" s="12" t="s">
        <v>95</v>
      </c>
      <c r="G3" s="12" t="s">
        <v>96</v>
      </c>
      <c r="H3" s="12" t="s">
        <v>97</v>
      </c>
      <c r="I3" s="12" t="s">
        <v>102</v>
      </c>
    </row>
    <row r="4" spans="1:9" x14ac:dyDescent="0.45">
      <c r="A4" s="13" t="s">
        <v>98</v>
      </c>
      <c r="B4" s="14">
        <v>112.8</v>
      </c>
      <c r="C4" s="14">
        <v>91.699999999999989</v>
      </c>
      <c r="D4" s="14">
        <v>34.4</v>
      </c>
      <c r="E4" s="14">
        <v>108.2</v>
      </c>
      <c r="F4" s="14">
        <v>127.4</v>
      </c>
      <c r="G4" s="14">
        <v>87.7</v>
      </c>
      <c r="H4" s="14">
        <v>154.80000000000001</v>
      </c>
      <c r="I4" s="6">
        <f>AVERAGE(B4:H4)</f>
        <v>102.42857142857143</v>
      </c>
    </row>
    <row r="5" spans="1:9" x14ac:dyDescent="0.45">
      <c r="A5" s="13" t="s">
        <v>99</v>
      </c>
      <c r="B5" s="14">
        <v>421.7</v>
      </c>
      <c r="C5" s="14">
        <v>312.5</v>
      </c>
      <c r="D5" s="14">
        <v>124.5</v>
      </c>
      <c r="E5" s="14">
        <v>181.5</v>
      </c>
      <c r="F5" s="14">
        <v>288</v>
      </c>
      <c r="G5" s="14">
        <v>167.5</v>
      </c>
      <c r="H5" s="14">
        <v>236.7</v>
      </c>
      <c r="I5" s="6">
        <f t="shared" ref="I5:I7" si="0">AVERAGE(B5:H5)</f>
        <v>247.48571428571429</v>
      </c>
    </row>
    <row r="6" spans="1:9" x14ac:dyDescent="0.45">
      <c r="A6" s="13" t="s">
        <v>100</v>
      </c>
      <c r="B6" s="14">
        <v>1018.5999999999999</v>
      </c>
      <c r="C6" s="14">
        <v>1018.8999999999999</v>
      </c>
      <c r="D6" s="14">
        <v>346.3</v>
      </c>
      <c r="E6" s="14">
        <v>364.59999999999997</v>
      </c>
      <c r="F6" s="14">
        <v>484.1</v>
      </c>
      <c r="G6" s="14">
        <v>390.5</v>
      </c>
      <c r="H6" s="14">
        <v>539.1</v>
      </c>
      <c r="I6" s="6">
        <f t="shared" si="0"/>
        <v>594.58571428571418</v>
      </c>
    </row>
    <row r="7" spans="1:9" x14ac:dyDescent="0.45">
      <c r="A7" s="13" t="s">
        <v>101</v>
      </c>
      <c r="B7" s="14">
        <v>216.5</v>
      </c>
      <c r="C7" s="14">
        <v>190.99999999999997</v>
      </c>
      <c r="D7" s="14">
        <v>72.3</v>
      </c>
      <c r="E7" s="14">
        <v>92.1</v>
      </c>
      <c r="F7" s="14">
        <v>75.5</v>
      </c>
      <c r="G7" s="14">
        <v>85</v>
      </c>
      <c r="H7" s="14">
        <v>141.30000000000001</v>
      </c>
      <c r="I7" s="6">
        <f t="shared" si="0"/>
        <v>124.81428571428572</v>
      </c>
    </row>
    <row r="8" spans="1:9" x14ac:dyDescent="0.45">
      <c r="A8" s="13" t="s">
        <v>104</v>
      </c>
      <c r="B8" s="6">
        <f>AVERAGE(B4:B7)</f>
        <v>442.4</v>
      </c>
      <c r="C8" s="6">
        <f t="shared" ref="C8:I8" si="1">AVERAGE(C4:C7)</f>
        <v>403.52499999999998</v>
      </c>
      <c r="D8" s="6">
        <f t="shared" si="1"/>
        <v>144.375</v>
      </c>
      <c r="E8" s="6">
        <f t="shared" si="1"/>
        <v>186.6</v>
      </c>
      <c r="F8" s="6">
        <f t="shared" si="1"/>
        <v>243.75</v>
      </c>
      <c r="G8" s="6">
        <f t="shared" si="1"/>
        <v>182.67500000000001</v>
      </c>
      <c r="H8" s="6">
        <f t="shared" si="1"/>
        <v>267.97500000000002</v>
      </c>
      <c r="I8" s="6">
        <f t="shared" si="1"/>
        <v>267.32857142857142</v>
      </c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기본작업-3</vt:lpstr>
      <vt:lpstr>계산작업</vt:lpstr>
      <vt:lpstr>분석작업-1</vt:lpstr>
      <vt:lpstr>분석작업-2</vt:lpstr>
      <vt:lpstr>매크로작업</vt:lpstr>
      <vt:lpstr>차트작업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2023-02-06T06:23:03Z</dcterms:created>
  <dcterms:modified xsi:type="dcterms:W3CDTF">2023-03-22T10:00:03Z</dcterms:modified>
</cp:coreProperties>
</file>