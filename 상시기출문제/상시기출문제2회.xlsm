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영진(2026년)\2급\기본서\새로운 문제\기출1~2회\"/>
    </mc:Choice>
  </mc:AlternateContent>
  <xr:revisionPtr revIDLastSave="0" documentId="13_ncr:1_{767B6B32-F464-49C7-A736-6383BAD080CF}" xr6:coauthVersionLast="47" xr6:coauthVersionMax="47" xr10:uidLastSave="{00000000-0000-0000-0000-000000000000}"/>
  <bookViews>
    <workbookView xWindow="405" yWindow="1305" windowWidth="20325" windowHeight="14115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'기본작업-3'!#REF!</definedName>
    <definedName name="_xlnm.Criteria" localSheetId="2">'기본작업-3'!#REF!</definedName>
    <definedName name="_xlnm.Extract" localSheetId="2">'기본작업-3'!#REF!</definedName>
    <definedName name="배점">'기본작업-2'!#REF!</definedName>
    <definedName name="제품명">'기본작업-2'!#REF!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4" l="1"/>
  <c r="E4" i="4"/>
  <c r="E3" i="4"/>
</calcChain>
</file>

<file path=xl/sharedStrings.xml><?xml version="1.0" encoding="utf-8"?>
<sst xmlns="http://schemas.openxmlformats.org/spreadsheetml/2006/main" count="308" uniqueCount="178">
  <si>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</si>
  <si>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</si>
  <si>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</si>
  <si>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</si>
  <si>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</si>
  <si>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</si>
  <si>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</si>
  <si>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</si>
  <si>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</si>
  <si>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</si>
  <si>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</si>
  <si>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</si>
  <si>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</si>
  <si>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</si>
  <si>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</si>
  <si>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</si>
  <si>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</si>
  <si>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</si>
  <si>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</si>
  <si>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</si>
  <si>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</si>
  <si>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</si>
  <si>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</si>
  <si>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</si>
  <si>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</si>
  <si>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</si>
  <si>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</si>
  <si>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</si>
  <si>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</si>
  <si>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</si>
  <si>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</si>
  <si>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</si>
  <si>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</si>
  <si>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</si>
  <si>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</si>
  <si>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</si>
  <si>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</si>
  <si>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</si>
  <si>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</si>
  <si>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</si>
  <si>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</si>
  <si>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</si>
  <si>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</si>
  <si>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</si>
  <si>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</si>
  <si>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</si>
  <si>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</si>
  <si>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</si>
  <si>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</si>
  <si>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</si>
  <si>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</si>
  <si>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</si>
  <si>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</si>
  <si>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</si>
  <si>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</si>
  <si>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</si>
  <si>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</si>
  <si>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</si>
  <si>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</si>
  <si>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</si>
  <si>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</si>
  <si>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</si>
  <si>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</si>
  <si>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</si>
  <si>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</si>
  <si>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</si>
  <si>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</si>
  <si>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</si>
  <si>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</si>
  <si>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</si>
  <si>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</si>
  <si>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</si>
  <si>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</si>
  <si>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</si>
  <si>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</si>
  <si>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</si>
  <si>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</si>
  <si>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</si>
  <si>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</si>
  <si>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</si>
  <si>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</si>
  <si>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</si>
  <si>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</si>
  <si>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</si>
  <si>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</si>
  <si>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</si>
  <si>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</si>
  <si>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</si>
  <si>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</si>
  <si>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</si>
  <si>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</si>
  <si>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</si>
  <si>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</si>
  <si>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</si>
  <si>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</si>
  <si>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</si>
  <si>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</si>
  <si>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</si>
  <si>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</si>
  <si>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</si>
  <si>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</si>
  <si>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</si>
  <si>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</si>
  <si>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</si>
  <si>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</si>
  <si>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</si>
  <si>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</si>
  <si>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</si>
  <si>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</si>
  <si>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</si>
  <si>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</si>
  <si>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</si>
  <si>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</si>
  <si>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</si>
  <si>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</si>
  <si>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</si>
  <si>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</si>
  <si>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</si>
  <si>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</si>
  <si>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</si>
  <si>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</si>
  <si>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</si>
  <si>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</si>
  <si>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</si>
  <si>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</si>
  <si>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</si>
  <si>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</si>
  <si>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</si>
  <si>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</si>
  <si>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</si>
  <si>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</si>
  <si>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</si>
  <si>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</si>
  <si>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</si>
  <si>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</si>
  <si>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</si>
  <si>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</si>
  <si>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</si>
  <si>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</si>
  <si>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</si>
  <si>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</si>
  <si>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</si>
  <si>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</si>
  <si>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</si>
  <si>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</si>
  <si>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</si>
  <si>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</si>
  <si>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</si>
  <si>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</si>
  <si>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</si>
  <si>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</si>
  <si>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</si>
  <si>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</si>
  <si>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</si>
  <si>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</si>
  <si>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</si>
  <si>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</si>
  <si>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</si>
  <si>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</si>
  <si>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</si>
  <si>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</si>
  <si>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비율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</si>
  <si>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</si>
  <si>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</si>
  <si>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</si>
  <si>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핀란드</t>
    <phoneticPr fontId="2" type="noConversion"/>
  </si>
  <si>
    <t>네덜란드</t>
    <phoneticPr fontId="2" type="noConversion"/>
  </si>
  <si>
    <t>배출량(톤)</t>
    <phoneticPr fontId="2" type="noConversion"/>
  </si>
  <si>
    <t>정기예금</t>
  </si>
  <si>
    <t>A</t>
  </si>
  <si>
    <t>B</t>
  </si>
  <si>
    <t>적립식예금</t>
    <phoneticPr fontId="2" type="noConversion"/>
  </si>
  <si>
    <t>C</t>
    <phoneticPr fontId="2" type="noConversion"/>
  </si>
  <si>
    <t>D</t>
  </si>
  <si>
    <t>예금A</t>
  </si>
  <si>
    <t>예금B</t>
  </si>
  <si>
    <t>예금C</t>
  </si>
  <si>
    <t>예금D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</si>
</sst>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0" fontId="0" fillId="0" borderId="1" xfId="0" applyBorder="1">
      <alignment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NumberForma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3" fontId="5" fillId="0" borderId="1" xfId="0" applyNumberFormat="1" applyFont="1" applyBorder="1" applyAlignment="1">
      <alignment vertical="center" wrapText="1"/>
    </xf>
    <xf numFmtId="0" fontId="5" fillId="0" borderId="1" xfId="0" applyFont="1" applyBorder="1">
      <alignment vertical="center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식후1시간혈당(mg/dL)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145</c:v>
                </c:pt>
                <c:pt idx="1">
                  <c:v>155</c:v>
                </c:pt>
                <c:pt idx="2">
                  <c:v>140</c:v>
                </c:pt>
                <c:pt idx="3">
                  <c:v>160</c:v>
                </c:pt>
                <c:pt idx="4">
                  <c:v>135</c:v>
                </c:pt>
                <c:pt idx="5">
                  <c:v>150</c:v>
                </c:pt>
                <c:pt idx="6">
                  <c:v>130</c:v>
                </c:pt>
                <c:pt idx="7">
                  <c:v>170</c:v>
                </c:pt>
                <c:pt idx="8">
                  <c:v>145</c:v>
                </c:pt>
                <c:pt idx="9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B-455F-8E98-EA8B111797F9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식후2시간혈당(mg/dL)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120</c:v>
                </c:pt>
                <c:pt idx="1">
                  <c:v>130</c:v>
                </c:pt>
                <c:pt idx="2">
                  <c:v>125</c:v>
                </c:pt>
                <c:pt idx="3">
                  <c:v>140</c:v>
                </c:pt>
                <c:pt idx="4">
                  <c:v>120</c:v>
                </c:pt>
                <c:pt idx="5">
                  <c:v>130</c:v>
                </c:pt>
                <c:pt idx="6">
                  <c:v>115</c:v>
                </c:pt>
                <c:pt idx="7">
                  <c:v>145</c:v>
                </c:pt>
                <c:pt idx="8">
                  <c:v>125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1B-455F-8E98-EA8B111797F9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4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052479"/>
        <c:axId val="1008055807"/>
      </c:barChart>
      <c:dateAx>
        <c:axId val="10080524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tabSelected="1" workbookViewId="0"/>
  </sheetViews>
  <sheetFormatPr defaultRowHeight="16.5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1">
      <c r="A1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workbookViewId="0"/>
  </sheetViews>
  <sheetFormatPr defaultRowHeight="16.5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16.5" customHeight="1">
      <c r="A1" s="33" t="s">
        <v>43</v>
      </c>
      <c r="B1" s="33"/>
      <c r="C1" s="33"/>
      <c r="D1" s="33"/>
      <c r="E1" s="33"/>
      <c r="F1" s="33"/>
      <c r="G1" s="33"/>
      <c r="H1" s="33"/>
    </row>
    <row r="3" spans="1:8">
      <c r="A3" t="s">
        <v>45</v>
      </c>
      <c r="E3" t="s">
        <v>46</v>
      </c>
      <c r="G3" t="s">
        <v>161</v>
      </c>
    </row>
    <row r="4" spans="1:8">
      <c r="A4" s="34" t="s">
        <v>26</v>
      </c>
      <c r="B4" s="34" t="s">
        <v>27</v>
      </c>
      <c r="C4" s="34" t="s">
        <v>44</v>
      </c>
      <c r="D4" s="34" t="s">
        <v>28</v>
      </c>
      <c r="E4" s="34" t="s">
        <v>47</v>
      </c>
      <c r="F4" s="34" t="s">
        <v>48</v>
      </c>
      <c r="G4" s="34" t="s">
        <v>49</v>
      </c>
      <c r="H4" s="34" t="s">
        <v>50</v>
      </c>
    </row>
    <row r="5" spans="1:8">
      <c r="A5" s="35" t="s">
        <v>29</v>
      </c>
      <c r="B5" s="35" t="s">
        <v>5</v>
      </c>
      <c r="C5" s="36">
        <v>4200</v>
      </c>
      <c r="D5" s="38">
        <v>3.2</v>
      </c>
      <c r="E5" s="37">
        <v>105.4</v>
      </c>
      <c r="F5" s="37">
        <v>120.5</v>
      </c>
      <c r="G5" s="37">
        <v>23.5</v>
      </c>
      <c r="H5" s="37">
        <v>64.2</v>
      </c>
    </row>
    <row r="6" spans="1:8">
      <c r="A6" s="35" t="s">
        <v>30</v>
      </c>
      <c r="B6" s="35" t="s">
        <v>6</v>
      </c>
      <c r="C6" s="36">
        <v>3500</v>
      </c>
      <c r="D6" s="38">
        <v>3.8</v>
      </c>
      <c r="E6" s="37">
        <v>103.1</v>
      </c>
      <c r="F6" s="37">
        <v>98.3</v>
      </c>
      <c r="G6" s="37">
        <v>25.8</v>
      </c>
      <c r="H6" s="37">
        <v>62.7</v>
      </c>
    </row>
    <row r="7" spans="1:8">
      <c r="A7" s="35" t="s">
        <v>31</v>
      </c>
      <c r="B7" s="35" t="s">
        <v>8</v>
      </c>
      <c r="C7" s="36">
        <v>3200</v>
      </c>
      <c r="D7" s="38">
        <v>4.0999999999999996</v>
      </c>
      <c r="E7" s="37">
        <v>102.7</v>
      </c>
      <c r="F7" s="37">
        <v>95.7</v>
      </c>
      <c r="G7" s="37">
        <v>26.4</v>
      </c>
      <c r="H7" s="37">
        <v>61.5</v>
      </c>
    </row>
    <row r="8" spans="1:8">
      <c r="A8" s="35" t="s">
        <v>32</v>
      </c>
      <c r="B8" s="35" t="s">
        <v>9</v>
      </c>
      <c r="C8" s="36">
        <v>3900</v>
      </c>
      <c r="D8" s="38">
        <v>3.5</v>
      </c>
      <c r="E8" s="37">
        <v>104.2</v>
      </c>
      <c r="F8" s="37">
        <v>110.1</v>
      </c>
      <c r="G8" s="37">
        <v>24.2</v>
      </c>
      <c r="H8" s="37">
        <v>63</v>
      </c>
    </row>
    <row r="9" spans="1:8">
      <c r="A9" s="35" t="s">
        <v>33</v>
      </c>
      <c r="B9" s="35" t="s">
        <v>10</v>
      </c>
      <c r="C9" s="36">
        <v>3100</v>
      </c>
      <c r="D9" s="38">
        <v>4</v>
      </c>
      <c r="E9" s="37">
        <v>101.8</v>
      </c>
      <c r="F9" s="37">
        <v>94.5</v>
      </c>
      <c r="G9" s="37">
        <v>27.1</v>
      </c>
      <c r="H9" s="37">
        <v>60.8</v>
      </c>
    </row>
    <row r="10" spans="1:8">
      <c r="A10" s="35" t="s">
        <v>34</v>
      </c>
      <c r="B10" s="35" t="s">
        <v>7</v>
      </c>
      <c r="C10" s="36">
        <v>3400</v>
      </c>
      <c r="D10" s="38">
        <v>3.7</v>
      </c>
      <c r="E10" s="37">
        <v>102.3</v>
      </c>
      <c r="F10" s="37">
        <v>97.2</v>
      </c>
      <c r="G10" s="37">
        <v>25</v>
      </c>
      <c r="H10" s="37">
        <v>62</v>
      </c>
    </row>
    <row r="11" spans="1:8">
      <c r="A11" s="35" t="s">
        <v>35</v>
      </c>
      <c r="B11" s="35" t="s">
        <v>11</v>
      </c>
      <c r="C11" s="36">
        <v>4500</v>
      </c>
      <c r="D11" s="38">
        <v>3</v>
      </c>
      <c r="E11" s="37">
        <v>106.5</v>
      </c>
      <c r="F11" s="37">
        <v>125.3</v>
      </c>
      <c r="G11" s="37">
        <v>22.7</v>
      </c>
      <c r="H11" s="37">
        <v>65.099999999999994</v>
      </c>
    </row>
    <row r="12" spans="1:8">
      <c r="A12" s="35" t="s">
        <v>36</v>
      </c>
      <c r="B12" s="35" t="s">
        <v>12</v>
      </c>
      <c r="C12" s="36">
        <v>3800</v>
      </c>
      <c r="D12" s="38">
        <v>3.6</v>
      </c>
      <c r="E12" s="37">
        <v>103.8</v>
      </c>
      <c r="F12" s="37">
        <v>108.7</v>
      </c>
      <c r="G12" s="37">
        <v>24.8</v>
      </c>
      <c r="H12" s="37">
        <v>62.9</v>
      </c>
    </row>
    <row r="13" spans="1:8">
      <c r="A13" s="35" t="s">
        <v>37</v>
      </c>
      <c r="B13" s="35" t="s">
        <v>19</v>
      </c>
      <c r="C13" s="36">
        <v>3200</v>
      </c>
      <c r="D13" s="38">
        <v>3.9</v>
      </c>
      <c r="E13" s="37">
        <v>102.1</v>
      </c>
      <c r="F13" s="37">
        <v>95.2</v>
      </c>
      <c r="G13" s="37">
        <v>26</v>
      </c>
      <c r="H13" s="37">
        <v>61.2</v>
      </c>
    </row>
    <row r="14" spans="1:8">
      <c r="A14" s="35" t="s">
        <v>38</v>
      </c>
      <c r="B14" s="35" t="s">
        <v>39</v>
      </c>
      <c r="C14" s="36">
        <v>3000</v>
      </c>
      <c r="D14" s="38">
        <v>4.2</v>
      </c>
      <c r="E14" s="37">
        <v>101.5</v>
      </c>
      <c r="F14" s="37">
        <v>93.4</v>
      </c>
      <c r="G14" s="37">
        <v>27.5</v>
      </c>
      <c r="H14" s="37">
        <v>60.3</v>
      </c>
    </row>
    <row r="15" spans="1:8">
      <c r="A15" s="35" t="s">
        <v>40</v>
      </c>
      <c r="B15" s="35" t="s">
        <v>16</v>
      </c>
      <c r="C15" s="36">
        <v>3600</v>
      </c>
      <c r="D15" s="38">
        <v>3.4</v>
      </c>
      <c r="E15" s="37">
        <v>103.5</v>
      </c>
      <c r="F15" s="37">
        <v>99.8</v>
      </c>
      <c r="G15" s="37">
        <v>25.2</v>
      </c>
      <c r="H15" s="37">
        <v>62.5</v>
      </c>
    </row>
    <row r="16" spans="1:8">
      <c r="A16" s="35" t="s">
        <v>41</v>
      </c>
      <c r="B16" s="35" t="s">
        <v>14</v>
      </c>
      <c r="C16" s="36">
        <v>3100</v>
      </c>
      <c r="D16" s="38">
        <v>3.8</v>
      </c>
      <c r="E16" s="37">
        <v>101.2</v>
      </c>
      <c r="F16" s="37">
        <v>92.7</v>
      </c>
      <c r="G16" s="37">
        <v>28.3</v>
      </c>
      <c r="H16" s="37">
        <v>59.7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18"/>
  <sheetViews>
    <sheetView workbookViewId="0"/>
  </sheetViews>
  <sheetFormatPr defaultRowHeight="16.5"/>
  <cols>
    <col min="1" max="1" width="8.75" customWidth="1"/>
    <col min="4" max="4" width="13.375" customWidth="1"/>
    <col min="5" max="5" width="9.375" bestFit="1" customWidth="1"/>
    <col min="6" max="6" width="12" customWidth="1"/>
    <col min="7" max="7" width="11.75" style="12" customWidth="1"/>
    <col min="8" max="8" width="12.125" style="12" customWidth="1"/>
  </cols>
  <sheetData>
    <row r="1" spans="1:8" ht="26.25">
      <c r="A1" s="13" t="s">
        <v>20</v>
      </c>
      <c r="B1" s="2"/>
      <c r="C1" s="2"/>
      <c r="D1" s="2"/>
      <c r="E1" s="2"/>
      <c r="F1" s="2"/>
      <c r="G1" s="17"/>
    </row>
    <row r="2" spans="1:8">
      <c r="A2" s="3"/>
      <c r="B2" s="3"/>
      <c r="C2" s="4"/>
      <c r="D2" s="1"/>
    </row>
    <row r="3" spans="1:8">
      <c r="A3" s="23" t="s">
        <v>3</v>
      </c>
      <c r="B3" s="23" t="s">
        <v>51</v>
      </c>
      <c r="C3" s="23" t="s">
        <v>52</v>
      </c>
      <c r="D3" s="23" t="s">
        <v>22</v>
      </c>
      <c r="E3" s="23" t="s">
        <v>53</v>
      </c>
      <c r="F3" s="23" t="s">
        <v>54</v>
      </c>
      <c r="G3" s="23" t="s">
        <v>55</v>
      </c>
      <c r="H3" s="23" t="s">
        <v>56</v>
      </c>
    </row>
    <row r="4" spans="1:8">
      <c r="A4" s="14" t="s">
        <v>5</v>
      </c>
      <c r="B4" s="16">
        <v>15</v>
      </c>
      <c r="C4" s="16">
        <v>65</v>
      </c>
      <c r="D4" s="16">
        <v>3.5</v>
      </c>
      <c r="E4" s="16">
        <v>1012</v>
      </c>
      <c r="F4" s="16">
        <v>0</v>
      </c>
      <c r="G4" s="18">
        <v>0.27083333333333331</v>
      </c>
      <c r="H4" s="18">
        <v>0.76041666666666663</v>
      </c>
    </row>
    <row r="5" spans="1:8">
      <c r="A5" s="14" t="s">
        <v>6</v>
      </c>
      <c r="B5" s="16">
        <v>18</v>
      </c>
      <c r="C5" s="16">
        <v>45</v>
      </c>
      <c r="D5" s="16">
        <v>4.2</v>
      </c>
      <c r="E5" s="16">
        <v>1010</v>
      </c>
      <c r="F5" s="16">
        <v>2</v>
      </c>
      <c r="G5" s="18">
        <v>0.27777777777777779</v>
      </c>
      <c r="H5" s="18">
        <v>0.76388888888888884</v>
      </c>
    </row>
    <row r="6" spans="1:8">
      <c r="A6" s="14" t="s">
        <v>7</v>
      </c>
      <c r="B6" s="16">
        <v>16</v>
      </c>
      <c r="C6" s="16">
        <v>60</v>
      </c>
      <c r="D6" s="16">
        <v>2.8</v>
      </c>
      <c r="E6" s="16">
        <v>1011</v>
      </c>
      <c r="F6" s="16">
        <v>0.5</v>
      </c>
      <c r="G6" s="18">
        <v>0.27430555555555552</v>
      </c>
      <c r="H6" s="18">
        <v>0.75694444444444453</v>
      </c>
    </row>
    <row r="7" spans="1:8">
      <c r="A7" s="14" t="s">
        <v>8</v>
      </c>
      <c r="B7" s="16">
        <v>20</v>
      </c>
      <c r="C7" s="16">
        <v>75</v>
      </c>
      <c r="D7" s="16">
        <v>3</v>
      </c>
      <c r="E7" s="16">
        <v>1013</v>
      </c>
      <c r="F7" s="16">
        <v>1</v>
      </c>
      <c r="G7" s="18">
        <v>0.28125</v>
      </c>
      <c r="H7" s="18">
        <v>0.76736111111111116</v>
      </c>
    </row>
    <row r="8" spans="1:8">
      <c r="A8" s="14" t="s">
        <v>9</v>
      </c>
      <c r="B8" s="16">
        <v>14</v>
      </c>
      <c r="C8" s="16">
        <v>80</v>
      </c>
      <c r="D8" s="16">
        <v>2.5</v>
      </c>
      <c r="E8" s="16">
        <v>1010</v>
      </c>
      <c r="F8" s="16">
        <v>0</v>
      </c>
      <c r="G8" s="18">
        <v>0.2638888888888889</v>
      </c>
      <c r="H8" s="18">
        <v>0.75</v>
      </c>
    </row>
    <row r="9" spans="1:8">
      <c r="A9" s="14" t="s">
        <v>10</v>
      </c>
      <c r="B9" s="16">
        <v>17</v>
      </c>
      <c r="C9" s="16">
        <v>68</v>
      </c>
      <c r="D9" s="16">
        <v>3.3</v>
      </c>
      <c r="E9" s="16">
        <v>1012</v>
      </c>
      <c r="F9" s="16">
        <v>0.1</v>
      </c>
      <c r="G9" s="18">
        <v>0.2673611111111111</v>
      </c>
      <c r="H9" s="18">
        <v>0.75347222222222221</v>
      </c>
    </row>
    <row r="10" spans="1:8">
      <c r="A10" s="14" t="s">
        <v>11</v>
      </c>
      <c r="B10" s="16">
        <v>19</v>
      </c>
      <c r="C10" s="16">
        <v>50</v>
      </c>
      <c r="D10" s="16">
        <v>4</v>
      </c>
      <c r="E10" s="16">
        <v>1011</v>
      </c>
      <c r="F10" s="16">
        <v>0</v>
      </c>
      <c r="G10" s="18">
        <v>0.27638888888888885</v>
      </c>
      <c r="H10" s="18">
        <v>0.76250000000000007</v>
      </c>
    </row>
    <row r="11" spans="1:8">
      <c r="A11" s="14" t="s">
        <v>12</v>
      </c>
      <c r="B11" s="16">
        <v>16</v>
      </c>
      <c r="C11" s="16">
        <v>69</v>
      </c>
      <c r="D11" s="16">
        <v>3.1</v>
      </c>
      <c r="E11" s="16">
        <v>1012</v>
      </c>
      <c r="F11" s="16">
        <v>0</v>
      </c>
      <c r="G11" s="18">
        <v>0.27083333333333331</v>
      </c>
      <c r="H11" s="18">
        <v>0.75694444444444453</v>
      </c>
    </row>
    <row r="12" spans="1:8">
      <c r="A12" s="14" t="s">
        <v>13</v>
      </c>
      <c r="B12" s="16">
        <v>18</v>
      </c>
      <c r="C12" s="16">
        <v>65</v>
      </c>
      <c r="D12" s="16">
        <v>3.7</v>
      </c>
      <c r="E12" s="16">
        <v>1014</v>
      </c>
      <c r="F12" s="16">
        <v>0</v>
      </c>
      <c r="G12" s="18">
        <v>0.2722222222222222</v>
      </c>
      <c r="H12" s="18">
        <v>0.7583333333333333</v>
      </c>
    </row>
    <row r="13" spans="1:8">
      <c r="A13" s="14" t="s">
        <v>14</v>
      </c>
      <c r="B13" s="16">
        <v>21</v>
      </c>
      <c r="C13" s="16">
        <v>77</v>
      </c>
      <c r="D13" s="16">
        <v>5</v>
      </c>
      <c r="E13" s="16">
        <v>1010</v>
      </c>
      <c r="F13" s="16">
        <v>3</v>
      </c>
      <c r="G13" s="18">
        <v>0.28472222222222221</v>
      </c>
      <c r="H13" s="18">
        <v>0.77083333333333337</v>
      </c>
    </row>
    <row r="14" spans="1:8">
      <c r="A14" s="14" t="s">
        <v>15</v>
      </c>
      <c r="B14" s="16">
        <v>22</v>
      </c>
      <c r="C14" s="16">
        <v>79</v>
      </c>
      <c r="D14" s="16">
        <v>3.8</v>
      </c>
      <c r="E14" s="16">
        <v>1013</v>
      </c>
      <c r="F14" s="16">
        <v>2</v>
      </c>
      <c r="G14" s="18">
        <v>0.28819444444444448</v>
      </c>
      <c r="H14" s="18">
        <v>0.77430555555555547</v>
      </c>
    </row>
    <row r="15" spans="1:8">
      <c r="A15" s="14" t="s">
        <v>16</v>
      </c>
      <c r="B15" s="16">
        <v>20</v>
      </c>
      <c r="C15" s="16">
        <v>48</v>
      </c>
      <c r="D15" s="16">
        <v>4.3</v>
      </c>
      <c r="E15" s="16">
        <v>1011</v>
      </c>
      <c r="F15" s="16">
        <v>0.5</v>
      </c>
      <c r="G15" s="18">
        <v>0.27777777777777779</v>
      </c>
      <c r="H15" s="18">
        <v>0.76736111111111116</v>
      </c>
    </row>
    <row r="16" spans="1:8">
      <c r="A16" s="14" t="s">
        <v>17</v>
      </c>
      <c r="B16" s="16">
        <v>13</v>
      </c>
      <c r="C16" s="16">
        <v>70</v>
      </c>
      <c r="D16" s="16">
        <v>2.6</v>
      </c>
      <c r="E16" s="16">
        <v>1012</v>
      </c>
      <c r="F16" s="16">
        <v>0</v>
      </c>
      <c r="G16" s="18">
        <v>0.26041666666666669</v>
      </c>
      <c r="H16" s="18">
        <v>0.74652777777777779</v>
      </c>
    </row>
    <row r="17" spans="1:8">
      <c r="A17" s="14" t="s">
        <v>18</v>
      </c>
      <c r="B17" s="16">
        <v>14</v>
      </c>
      <c r="C17" s="16">
        <v>68</v>
      </c>
      <c r="D17" s="16">
        <v>3.2</v>
      </c>
      <c r="E17" s="16">
        <v>1011</v>
      </c>
      <c r="F17" s="16">
        <v>0.2</v>
      </c>
      <c r="G17" s="18">
        <v>0.2638888888888889</v>
      </c>
      <c r="H17" s="18">
        <v>0.75</v>
      </c>
    </row>
    <row r="18" spans="1:8">
      <c r="A18" s="14" t="s">
        <v>19</v>
      </c>
      <c r="B18" s="16">
        <v>19</v>
      </c>
      <c r="C18" s="16">
        <v>66</v>
      </c>
      <c r="D18" s="16">
        <v>3</v>
      </c>
      <c r="E18" s="16">
        <v>1012</v>
      </c>
      <c r="F18" s="16">
        <v>0</v>
      </c>
      <c r="G18" s="18">
        <v>0.27430555555555552</v>
      </c>
      <c r="H18" s="18">
        <v>0.76041666666666663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workbookViewId="0"/>
  </sheetViews>
  <sheetFormatPr defaultRowHeight="16.5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3">
      <c r="A1" s="6" t="s">
        <v>21</v>
      </c>
      <c r="B1" s="6"/>
      <c r="C1" s="6"/>
      <c r="D1" s="6"/>
      <c r="E1" s="6"/>
      <c r="F1" s="6"/>
      <c r="G1" t="s">
        <v>0</v>
      </c>
    </row>
    <row r="2" spans="1:13">
      <c r="A2" s="21" t="s">
        <v>81</v>
      </c>
      <c r="B2" s="21" t="s">
        <v>24</v>
      </c>
      <c r="C2" s="21" t="s">
        <v>91</v>
      </c>
      <c r="D2" s="21" t="s">
        <v>89</v>
      </c>
      <c r="E2" s="21" t="s">
        <v>90</v>
      </c>
      <c r="F2" s="6"/>
      <c r="G2" s="23" t="s">
        <v>25</v>
      </c>
      <c r="H2" s="23" t="s">
        <v>24</v>
      </c>
      <c r="I2" s="23" t="s">
        <v>113</v>
      </c>
      <c r="J2" s="23" t="s">
        <v>110</v>
      </c>
      <c r="K2" s="23" t="s">
        <v>112</v>
      </c>
      <c r="L2" s="23" t="s">
        <v>123</v>
      </c>
    </row>
    <row r="3" spans="1:13">
      <c r="A3" s="11" t="s">
        <v>82</v>
      </c>
      <c r="B3" s="10">
        <v>45</v>
      </c>
      <c r="C3" s="10">
        <v>120</v>
      </c>
      <c r="D3" s="11">
        <v>180</v>
      </c>
      <c r="E3" s="11" t="str">
        <f>IF(D3&gt;=180,"고혈당","정상")</f>
        <v>고혈당</v>
      </c>
      <c r="F3" s="6"/>
      <c r="G3" s="11" t="s">
        <v>74</v>
      </c>
      <c r="H3" s="11">
        <v>45</v>
      </c>
      <c r="I3" s="11" t="s">
        <v>168</v>
      </c>
      <c r="J3" s="11" t="s">
        <v>169</v>
      </c>
      <c r="K3" s="5">
        <v>30000000</v>
      </c>
      <c r="L3" s="27"/>
    </row>
    <row r="4" spans="1:13">
      <c r="A4" s="11" t="s">
        <v>83</v>
      </c>
      <c r="B4" s="10">
        <v>50</v>
      </c>
      <c r="C4" s="10">
        <v>130</v>
      </c>
      <c r="D4" s="11">
        <v>140</v>
      </c>
      <c r="E4" s="11" t="str">
        <f t="shared" ref="E4:E5" si="0">IF(D4&gt;=180,"고혈당","정상")</f>
        <v>정상</v>
      </c>
      <c r="F4" s="6"/>
      <c r="G4" s="11" t="s">
        <v>114</v>
      </c>
      <c r="H4" s="11">
        <v>66</v>
      </c>
      <c r="I4" s="11" t="s">
        <v>168</v>
      </c>
      <c r="J4" s="11" t="s">
        <v>170</v>
      </c>
      <c r="K4" s="5">
        <v>60000000</v>
      </c>
      <c r="L4" s="27"/>
    </row>
    <row r="5" spans="1:13">
      <c r="A5" s="11" t="s">
        <v>84</v>
      </c>
      <c r="B5" s="10">
        <v>31</v>
      </c>
      <c r="C5" s="10">
        <v>125</v>
      </c>
      <c r="D5" s="11">
        <v>170</v>
      </c>
      <c r="E5" s="11" t="str">
        <f t="shared" si="0"/>
        <v>정상</v>
      </c>
      <c r="F5" s="6"/>
      <c r="G5" s="11" t="s">
        <v>115</v>
      </c>
      <c r="H5" s="11">
        <v>30</v>
      </c>
      <c r="I5" s="11" t="s">
        <v>171</v>
      </c>
      <c r="J5" s="11" t="s">
        <v>172</v>
      </c>
      <c r="K5" s="5">
        <v>10000000</v>
      </c>
      <c r="L5" s="27"/>
    </row>
    <row r="6" spans="1:13">
      <c r="A6" s="11" t="s">
        <v>85</v>
      </c>
      <c r="B6" s="10">
        <v>28</v>
      </c>
      <c r="C6" s="10">
        <v>135</v>
      </c>
      <c r="D6" s="11">
        <v>150</v>
      </c>
      <c r="E6" s="11" t="s">
        <v>92</v>
      </c>
      <c r="F6" s="6"/>
      <c r="G6" s="11" t="s">
        <v>116</v>
      </c>
      <c r="H6" s="11">
        <v>25</v>
      </c>
      <c r="I6" s="11" t="s">
        <v>168</v>
      </c>
      <c r="J6" s="11" t="s">
        <v>173</v>
      </c>
      <c r="K6" s="5">
        <v>15000000</v>
      </c>
      <c r="L6" s="27"/>
    </row>
    <row r="7" spans="1:13">
      <c r="A7" s="11" t="s">
        <v>86</v>
      </c>
      <c r="B7" s="10">
        <v>25</v>
      </c>
      <c r="C7" s="10">
        <v>150</v>
      </c>
      <c r="D7" s="11">
        <v>190</v>
      </c>
      <c r="E7" s="11" t="s">
        <v>92</v>
      </c>
      <c r="F7" s="6"/>
      <c r="G7" s="11" t="s">
        <v>117</v>
      </c>
      <c r="H7" s="11">
        <v>26</v>
      </c>
      <c r="I7" s="11" t="s">
        <v>168</v>
      </c>
      <c r="J7" s="11" t="s">
        <v>169</v>
      </c>
      <c r="K7" s="5">
        <v>12000000</v>
      </c>
      <c r="L7" s="27"/>
    </row>
    <row r="8" spans="1:13">
      <c r="A8" s="11" t="s">
        <v>87</v>
      </c>
      <c r="B8" s="10">
        <v>41</v>
      </c>
      <c r="C8" s="10">
        <v>123</v>
      </c>
      <c r="D8" s="11">
        <v>170</v>
      </c>
      <c r="E8" s="11" t="s">
        <v>93</v>
      </c>
      <c r="F8" s="6"/>
      <c r="G8" s="11" t="s">
        <v>118</v>
      </c>
      <c r="H8" s="11">
        <v>35</v>
      </c>
      <c r="I8" s="11" t="s">
        <v>168</v>
      </c>
      <c r="J8" s="11" t="s">
        <v>170</v>
      </c>
      <c r="K8" s="5">
        <v>35000000</v>
      </c>
      <c r="L8" s="27"/>
    </row>
    <row r="9" spans="1:13">
      <c r="A9" s="11" t="s">
        <v>88</v>
      </c>
      <c r="B9" s="10">
        <v>32</v>
      </c>
      <c r="C9" s="10">
        <v>110</v>
      </c>
      <c r="D9" s="11">
        <v>180</v>
      </c>
      <c r="E9" s="11" t="s">
        <v>93</v>
      </c>
      <c r="F9" s="6"/>
      <c r="G9" s="11" t="s">
        <v>119</v>
      </c>
      <c r="H9" s="11">
        <v>23</v>
      </c>
      <c r="I9" s="11" t="s">
        <v>171</v>
      </c>
      <c r="J9" s="11" t="s">
        <v>172</v>
      </c>
      <c r="K9" s="5">
        <v>20000000</v>
      </c>
      <c r="L9" s="27"/>
    </row>
    <row r="10" spans="1:13">
      <c r="A10" s="11" t="s">
        <v>124</v>
      </c>
      <c r="B10" s="10">
        <v>48</v>
      </c>
      <c r="C10" s="10">
        <v>120</v>
      </c>
      <c r="D10" s="11">
        <v>150</v>
      </c>
      <c r="E10" s="11" t="s">
        <v>92</v>
      </c>
      <c r="F10" s="3"/>
      <c r="G10" s="11" t="s">
        <v>120</v>
      </c>
      <c r="H10" s="11">
        <v>70</v>
      </c>
      <c r="I10" s="11" t="s">
        <v>168</v>
      </c>
      <c r="J10" s="11" t="s">
        <v>173</v>
      </c>
      <c r="K10" s="5">
        <v>40000000</v>
      </c>
      <c r="L10" s="27"/>
      <c r="M10" s="28"/>
    </row>
    <row r="12" spans="1:13">
      <c r="D12" s="21" t="s">
        <v>94</v>
      </c>
      <c r="E12" s="11"/>
      <c r="G12" s="22" t="s">
        <v>121</v>
      </c>
      <c r="H12" s="11" t="s">
        <v>174</v>
      </c>
      <c r="I12" s="11" t="s">
        <v>175</v>
      </c>
      <c r="J12" s="11" t="s">
        <v>176</v>
      </c>
      <c r="K12" s="11" t="s">
        <v>177</v>
      </c>
    </row>
    <row r="13" spans="1:13">
      <c r="G13" s="22" t="s">
        <v>122</v>
      </c>
      <c r="H13" s="26">
        <v>3.2000000000000001E-2</v>
      </c>
      <c r="I13" s="26">
        <v>3.5000000000000003E-2</v>
      </c>
      <c r="J13" s="26">
        <v>3.7999999999999999E-2</v>
      </c>
      <c r="K13" s="26">
        <v>0.04</v>
      </c>
    </row>
    <row r="15" spans="1:13">
      <c r="A15" t="s">
        <v>23</v>
      </c>
      <c r="G15" t="s">
        <v>1</v>
      </c>
    </row>
    <row r="16" spans="1:13">
      <c r="A16" s="23" t="s">
        <v>111</v>
      </c>
      <c r="B16" s="23" t="s">
        <v>95</v>
      </c>
      <c r="C16" s="23" t="s">
        <v>96</v>
      </c>
      <c r="D16" s="23" t="s">
        <v>110</v>
      </c>
      <c r="G16" s="23" t="s">
        <v>129</v>
      </c>
      <c r="H16" s="23" t="s">
        <v>81</v>
      </c>
      <c r="I16" s="23" t="s">
        <v>126</v>
      </c>
      <c r="J16" s="23" t="s">
        <v>127</v>
      </c>
      <c r="K16" s="23" t="s">
        <v>128</v>
      </c>
    </row>
    <row r="17" spans="1:11">
      <c r="A17" s="20">
        <v>40238</v>
      </c>
      <c r="B17" s="11" t="s">
        <v>97</v>
      </c>
      <c r="C17" s="11" t="s">
        <v>104</v>
      </c>
      <c r="D17" s="11"/>
      <c r="G17" s="11">
        <v>1</v>
      </c>
      <c r="H17" s="11" t="s">
        <v>74</v>
      </c>
      <c r="I17" s="11">
        <v>89</v>
      </c>
      <c r="J17" s="11">
        <v>84</v>
      </c>
      <c r="K17" s="11">
        <v>84</v>
      </c>
    </row>
    <row r="18" spans="1:11">
      <c r="A18" s="20">
        <v>41367</v>
      </c>
      <c r="B18" s="11" t="s">
        <v>98</v>
      </c>
      <c r="C18" s="11" t="s">
        <v>105</v>
      </c>
      <c r="D18" s="11"/>
      <c r="G18" s="11">
        <v>2</v>
      </c>
      <c r="H18" s="11" t="s">
        <v>114</v>
      </c>
      <c r="I18" s="11">
        <v>80</v>
      </c>
      <c r="J18" s="11">
        <v>75</v>
      </c>
      <c r="K18" s="11">
        <v>75</v>
      </c>
    </row>
    <row r="19" spans="1:11">
      <c r="A19" s="20">
        <v>39600</v>
      </c>
      <c r="B19" s="11" t="s">
        <v>99</v>
      </c>
      <c r="C19" s="11" t="s">
        <v>106</v>
      </c>
      <c r="D19" s="11"/>
      <c r="G19" s="11">
        <v>3</v>
      </c>
      <c r="H19" s="11" t="s">
        <v>115</v>
      </c>
      <c r="I19" s="11">
        <v>70</v>
      </c>
      <c r="J19" s="11">
        <v>66</v>
      </c>
      <c r="K19" s="11">
        <v>66</v>
      </c>
    </row>
    <row r="20" spans="1:11">
      <c r="A20" s="20">
        <v>39692</v>
      </c>
      <c r="B20" s="11" t="s">
        <v>100</v>
      </c>
      <c r="C20" s="11" t="s">
        <v>104</v>
      </c>
      <c r="D20" s="11"/>
      <c r="G20" s="11">
        <v>4</v>
      </c>
      <c r="H20" s="11" t="s">
        <v>116</v>
      </c>
      <c r="I20" s="11">
        <v>56</v>
      </c>
      <c r="J20" s="11">
        <v>51</v>
      </c>
      <c r="K20" s="11">
        <v>52</v>
      </c>
    </row>
    <row r="21" spans="1:11">
      <c r="A21" s="20">
        <v>39569</v>
      </c>
      <c r="B21" s="11" t="s">
        <v>101</v>
      </c>
      <c r="C21" s="11" t="s">
        <v>105</v>
      </c>
      <c r="D21" s="11"/>
      <c r="G21" s="11">
        <v>5</v>
      </c>
      <c r="H21" s="11" t="s">
        <v>117</v>
      </c>
      <c r="I21" s="11">
        <v>36</v>
      </c>
      <c r="J21" s="11">
        <v>31</v>
      </c>
      <c r="K21" s="11">
        <v>99</v>
      </c>
    </row>
    <row r="22" spans="1:11">
      <c r="A22" s="20">
        <v>40183</v>
      </c>
      <c r="B22" s="11" t="s">
        <v>102</v>
      </c>
      <c r="C22" s="11" t="s">
        <v>107</v>
      </c>
      <c r="D22" s="11"/>
      <c r="G22" s="11">
        <v>6</v>
      </c>
      <c r="H22" s="11" t="s">
        <v>118</v>
      </c>
      <c r="I22" s="11">
        <v>93</v>
      </c>
      <c r="J22" s="11">
        <v>84</v>
      </c>
      <c r="K22" s="11">
        <v>90</v>
      </c>
    </row>
    <row r="23" spans="1:11">
      <c r="A23" s="20">
        <v>39845</v>
      </c>
      <c r="B23" s="11" t="s">
        <v>103</v>
      </c>
      <c r="C23" s="11" t="s">
        <v>107</v>
      </c>
      <c r="D23" s="11"/>
      <c r="G23" s="11">
        <v>7</v>
      </c>
      <c r="H23" s="11" t="s">
        <v>119</v>
      </c>
      <c r="I23" s="11">
        <v>84</v>
      </c>
      <c r="J23" s="11">
        <v>74</v>
      </c>
      <c r="K23" s="11">
        <v>81</v>
      </c>
    </row>
    <row r="24" spans="1:11">
      <c r="A24" s="20">
        <v>40148</v>
      </c>
      <c r="B24" s="11" t="s">
        <v>108</v>
      </c>
      <c r="C24" s="11" t="s">
        <v>109</v>
      </c>
      <c r="D24" s="11"/>
      <c r="G24" s="11">
        <v>8</v>
      </c>
      <c r="H24" s="11" t="s">
        <v>120</v>
      </c>
      <c r="I24" s="11">
        <v>72</v>
      </c>
      <c r="J24" s="11">
        <v>62</v>
      </c>
      <c r="K24" s="11">
        <v>69</v>
      </c>
    </row>
    <row r="26" spans="1:11">
      <c r="A26" t="s">
        <v>2</v>
      </c>
      <c r="H26" s="23"/>
      <c r="I26" s="23"/>
      <c r="K26" s="23" t="s">
        <v>130</v>
      </c>
    </row>
    <row r="27" spans="1:11">
      <c r="A27" s="19" t="s">
        <v>3</v>
      </c>
      <c r="B27" s="19" t="s">
        <v>131</v>
      </c>
      <c r="C27" s="19" t="s">
        <v>167</v>
      </c>
      <c r="D27" s="19" t="s">
        <v>125</v>
      </c>
      <c r="H27" s="12"/>
      <c r="I27" s="12"/>
      <c r="K27" s="11"/>
    </row>
    <row r="28" spans="1:11">
      <c r="A28" s="14" t="s">
        <v>5</v>
      </c>
      <c r="B28" s="14" t="s">
        <v>132</v>
      </c>
      <c r="C28" s="16">
        <v>3200</v>
      </c>
      <c r="D28" s="14"/>
    </row>
    <row r="29" spans="1:11">
      <c r="A29" s="14" t="s">
        <v>6</v>
      </c>
      <c r="B29" s="14" t="s">
        <v>133</v>
      </c>
      <c r="C29" s="16">
        <v>2500</v>
      </c>
      <c r="D29" s="14"/>
    </row>
    <row r="30" spans="1:11">
      <c r="A30" s="14" t="s">
        <v>8</v>
      </c>
      <c r="B30" s="14" t="s">
        <v>134</v>
      </c>
      <c r="C30" s="16">
        <v>1900</v>
      </c>
      <c r="D30" s="14"/>
    </row>
    <row r="31" spans="1:11">
      <c r="A31" s="14" t="s">
        <v>9</v>
      </c>
      <c r="B31" s="14" t="s">
        <v>135</v>
      </c>
      <c r="C31" s="16">
        <v>1450</v>
      </c>
      <c r="D31" s="14"/>
    </row>
    <row r="32" spans="1:11">
      <c r="A32" s="14" t="s">
        <v>10</v>
      </c>
      <c r="B32" s="14" t="s">
        <v>132</v>
      </c>
      <c r="C32" s="16">
        <v>900</v>
      </c>
      <c r="D32" s="14"/>
    </row>
    <row r="33" spans="1:14">
      <c r="A33" s="14" t="s">
        <v>8</v>
      </c>
      <c r="B33" s="14" t="s">
        <v>134</v>
      </c>
      <c r="C33" s="16">
        <v>1800</v>
      </c>
      <c r="D33" s="14"/>
    </row>
    <row r="34" spans="1:14">
      <c r="A34" s="14" t="s">
        <v>9</v>
      </c>
      <c r="B34" s="14" t="s">
        <v>135</v>
      </c>
      <c r="C34" s="16">
        <v>1200</v>
      </c>
      <c r="D34" s="14"/>
    </row>
    <row r="35" spans="1:14">
      <c r="A35" s="14" t="s">
        <v>10</v>
      </c>
      <c r="B35" s="14" t="s">
        <v>132</v>
      </c>
      <c r="C35" s="16">
        <v>850</v>
      </c>
      <c r="D35" s="14"/>
    </row>
    <row r="38" spans="1:14">
      <c r="I38" s="7"/>
    </row>
    <row r="43" spans="1:14">
      <c r="J43" s="6"/>
    </row>
    <row r="44" spans="1:14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21"/>
  <sheetViews>
    <sheetView workbookViewId="0"/>
  </sheetViews>
  <sheetFormatPr defaultRowHeight="16.5"/>
  <cols>
    <col min="1" max="1" width="6.75" customWidth="1"/>
    <col min="2" max="2" width="10.75" bestFit="1" customWidth="1"/>
    <col min="3" max="6" width="16.25" bestFit="1" customWidth="1"/>
    <col min="7" max="8" width="20.7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>
      <c r="B1" t="s">
        <v>160</v>
      </c>
    </row>
    <row r="2" spans="2:8" ht="16.899999999999999" customHeight="1"/>
    <row r="3" spans="2:8">
      <c r="B3" s="11" t="s">
        <v>142</v>
      </c>
      <c r="C3" s="11" t="s">
        <v>143</v>
      </c>
      <c r="D3" s="11" t="s">
        <v>144</v>
      </c>
      <c r="E3" s="11" t="s">
        <v>158</v>
      </c>
      <c r="F3" s="11" t="s">
        <v>159</v>
      </c>
      <c r="G3" s="11" t="s">
        <v>145</v>
      </c>
      <c r="H3" s="11" t="s">
        <v>146</v>
      </c>
    </row>
    <row r="4" spans="2:8">
      <c r="B4" s="11" t="s">
        <v>156</v>
      </c>
      <c r="C4" s="11" t="s">
        <v>157</v>
      </c>
      <c r="D4" s="11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>
      <c r="B5" s="11" t="s">
        <v>153</v>
      </c>
      <c r="C5" s="11" t="s">
        <v>148</v>
      </c>
      <c r="D5" s="11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>
      <c r="B6" s="11" t="s">
        <v>153</v>
      </c>
      <c r="C6" s="11" t="s">
        <v>157</v>
      </c>
      <c r="D6" s="11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>
      <c r="B7" s="11" t="s">
        <v>147</v>
      </c>
      <c r="C7" s="11" t="s">
        <v>148</v>
      </c>
      <c r="D7" s="11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>
      <c r="B8" s="11" t="s">
        <v>147</v>
      </c>
      <c r="C8" s="11" t="s">
        <v>148</v>
      </c>
      <c r="D8" s="11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>
      <c r="B9" s="11" t="s">
        <v>147</v>
      </c>
      <c r="C9" s="11" t="s">
        <v>148</v>
      </c>
      <c r="D9" s="11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>
      <c r="B10" s="11" t="s">
        <v>147</v>
      </c>
      <c r="C10" s="11" t="s">
        <v>157</v>
      </c>
      <c r="D10" s="11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>
      <c r="B11" s="11" t="s">
        <v>151</v>
      </c>
      <c r="C11" s="11" t="s">
        <v>148</v>
      </c>
      <c r="D11" s="11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>
      <c r="B12" s="11" t="s">
        <v>151</v>
      </c>
      <c r="C12" s="11" t="s">
        <v>148</v>
      </c>
      <c r="D12" s="11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>
      <c r="B13" s="11" t="s">
        <v>151</v>
      </c>
      <c r="C13" s="11" t="s">
        <v>157</v>
      </c>
      <c r="D13" s="11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>
      <c r="B14" s="11" t="s">
        <v>154</v>
      </c>
      <c r="C14" s="11" t="s">
        <v>148</v>
      </c>
      <c r="D14" s="11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>
      <c r="B15" s="11" t="s">
        <v>154</v>
      </c>
      <c r="C15" s="11" t="s">
        <v>148</v>
      </c>
      <c r="D15" s="11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>
      <c r="B16" s="11" t="s">
        <v>152</v>
      </c>
      <c r="C16" s="11" t="s">
        <v>148</v>
      </c>
      <c r="D16" s="11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>
      <c r="B17" s="11" t="s">
        <v>152</v>
      </c>
      <c r="C17" s="11" t="s">
        <v>148</v>
      </c>
      <c r="D17" s="11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>
      <c r="B18" s="11" t="s">
        <v>152</v>
      </c>
      <c r="C18" s="11" t="s">
        <v>148</v>
      </c>
      <c r="D18" s="11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>
      <c r="B19" s="11" t="s">
        <v>152</v>
      </c>
      <c r="C19" s="11" t="s">
        <v>157</v>
      </c>
      <c r="D19" s="11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>
      <c r="B20" s="11" t="s">
        <v>155</v>
      </c>
      <c r="C20" s="11" t="s">
        <v>148</v>
      </c>
      <c r="D20" s="11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>
      <c r="B21" s="11" t="s">
        <v>155</v>
      </c>
      <c r="C21" s="11" t="s">
        <v>157</v>
      </c>
      <c r="D21" s="11" t="s">
        <v>149</v>
      </c>
      <c r="E21" s="5">
        <v>11</v>
      </c>
      <c r="F21" s="5">
        <v>14428400</v>
      </c>
      <c r="G21" s="5">
        <v>11</v>
      </c>
      <c r="H21" s="5">
        <v>14428400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/>
  </sheetViews>
  <sheetFormatPr defaultRowHeight="16.5"/>
  <cols>
    <col min="1" max="1" width="10.375" customWidth="1"/>
    <col min="2" max="2" width="14" style="9" customWidth="1"/>
    <col min="3" max="3" width="14.125" style="9" customWidth="1"/>
    <col min="4" max="4" width="16.75" customWidth="1"/>
    <col min="5" max="5" width="6.875" customWidth="1"/>
    <col min="6" max="6" width="10.25" style="9" customWidth="1"/>
    <col min="7" max="8" width="12.625" style="9" customWidth="1"/>
    <col min="9" max="9" width="13.75" customWidth="1"/>
  </cols>
  <sheetData>
    <row r="1" spans="1:9">
      <c r="B1"/>
      <c r="C1"/>
      <c r="F1"/>
      <c r="G1"/>
      <c r="H1"/>
    </row>
    <row r="2" spans="1:9" ht="17.25">
      <c r="A2" s="29" t="s">
        <v>162</v>
      </c>
      <c r="B2" s="3"/>
      <c r="C2" s="3"/>
      <c r="D2" s="3"/>
      <c r="F2" t="s">
        <v>1</v>
      </c>
      <c r="G2"/>
      <c r="H2"/>
    </row>
    <row r="3" spans="1:9">
      <c r="A3" s="32" t="s">
        <v>136</v>
      </c>
      <c r="B3" s="32" t="s">
        <v>139</v>
      </c>
      <c r="C3" s="32" t="s">
        <v>140</v>
      </c>
      <c r="D3" s="32" t="s">
        <v>141</v>
      </c>
      <c r="F3" s="32" t="s">
        <v>136</v>
      </c>
      <c r="G3" s="32" t="s">
        <v>139</v>
      </c>
      <c r="H3" s="32" t="s">
        <v>140</v>
      </c>
      <c r="I3" s="32" t="s">
        <v>141</v>
      </c>
    </row>
    <row r="4" spans="1:9">
      <c r="A4" s="30" t="s">
        <v>137</v>
      </c>
      <c r="B4" s="31">
        <v>4.2000000000000003E-2</v>
      </c>
      <c r="C4" s="31">
        <v>3.5000000000000003E-2</v>
      </c>
      <c r="D4" s="31">
        <v>2.3E-2</v>
      </c>
      <c r="F4" s="30"/>
      <c r="G4" s="8"/>
      <c r="H4" s="8"/>
      <c r="I4" s="8"/>
    </row>
    <row r="5" spans="1:9">
      <c r="A5" s="30" t="s">
        <v>138</v>
      </c>
      <c r="B5" s="31">
        <v>5.6000000000000001E-2</v>
      </c>
      <c r="C5" s="31">
        <v>5.3999999999999999E-2</v>
      </c>
      <c r="D5" s="31">
        <v>0.04</v>
      </c>
      <c r="F5" s="30"/>
      <c r="G5" s="8"/>
      <c r="H5" s="8"/>
      <c r="I5" s="8"/>
    </row>
    <row r="6" spans="1:9">
      <c r="A6" s="30" t="s">
        <v>165</v>
      </c>
      <c r="B6" s="31">
        <v>2.7E-2</v>
      </c>
      <c r="C6" s="31">
        <v>2.8000000000000001E-2</v>
      </c>
      <c r="D6" s="31">
        <v>8.0000000000000002E-3</v>
      </c>
      <c r="F6"/>
      <c r="G6"/>
      <c r="H6"/>
    </row>
    <row r="7" spans="1:9">
      <c r="A7" s="30" t="s">
        <v>166</v>
      </c>
      <c r="B7" s="31">
        <v>3.4000000000000002E-2</v>
      </c>
      <c r="C7" s="31">
        <v>0.04</v>
      </c>
      <c r="D7" s="31">
        <v>2.5000000000000001E-2</v>
      </c>
      <c r="F7"/>
      <c r="G7"/>
      <c r="H7"/>
    </row>
    <row r="8" spans="1:9">
      <c r="A8" s="3"/>
      <c r="B8" s="3"/>
      <c r="C8" s="3"/>
      <c r="D8" s="3"/>
      <c r="F8"/>
      <c r="G8"/>
      <c r="H8"/>
    </row>
    <row r="9" spans="1:9" ht="17.25">
      <c r="A9" s="29" t="s">
        <v>163</v>
      </c>
      <c r="B9" s="3"/>
      <c r="C9" s="3"/>
      <c r="D9" s="3"/>
      <c r="F9"/>
      <c r="G9"/>
      <c r="H9"/>
    </row>
    <row r="10" spans="1:9">
      <c r="A10" s="32" t="s">
        <v>136</v>
      </c>
      <c r="B10" s="32" t="s">
        <v>139</v>
      </c>
      <c r="C10" s="32" t="s">
        <v>140</v>
      </c>
      <c r="D10" s="32" t="s">
        <v>141</v>
      </c>
      <c r="F10"/>
      <c r="G10"/>
      <c r="H10"/>
    </row>
    <row r="11" spans="1:9">
      <c r="A11" s="30" t="s">
        <v>137</v>
      </c>
      <c r="B11" s="31">
        <v>3.1E-2</v>
      </c>
      <c r="C11" s="31">
        <v>3.7999999999999999E-2</v>
      </c>
      <c r="D11" s="31">
        <v>2.5000000000000001E-2</v>
      </c>
      <c r="F11"/>
      <c r="G11"/>
      <c r="H11"/>
    </row>
    <row r="12" spans="1:9">
      <c r="A12" s="30" t="s">
        <v>138</v>
      </c>
      <c r="B12" s="31">
        <v>3.2000000000000001E-2</v>
      </c>
      <c r="C12" s="31">
        <v>5.1999999999999998E-2</v>
      </c>
      <c r="D12" s="31">
        <v>3.5000000000000003E-2</v>
      </c>
      <c r="F12"/>
      <c r="G12"/>
      <c r="H12"/>
    </row>
    <row r="13" spans="1:9">
      <c r="A13" s="30" t="s">
        <v>165</v>
      </c>
      <c r="B13" s="31">
        <v>1.4999999999999999E-2</v>
      </c>
      <c r="C13" s="31">
        <v>2.5999999999999999E-2</v>
      </c>
      <c r="D13" s="31">
        <v>0.01</v>
      </c>
      <c r="F13"/>
      <c r="G13"/>
      <c r="H13"/>
    </row>
    <row r="14" spans="1:9">
      <c r="A14" s="30" t="s">
        <v>166</v>
      </c>
      <c r="B14" s="31">
        <v>2.3E-2</v>
      </c>
      <c r="C14" s="31">
        <v>3.9E-2</v>
      </c>
      <c r="D14" s="31">
        <v>0.02</v>
      </c>
      <c r="F14"/>
      <c r="G14"/>
      <c r="H14"/>
    </row>
    <row r="15" spans="1:9">
      <c r="A15" s="3"/>
      <c r="B15" s="3"/>
      <c r="C15" s="3"/>
      <c r="D15" s="3"/>
      <c r="F15"/>
      <c r="G15"/>
      <c r="H15"/>
    </row>
    <row r="16" spans="1:9" ht="18.600000000000001" customHeight="1">
      <c r="A16" s="29" t="s">
        <v>164</v>
      </c>
      <c r="B16" s="3"/>
      <c r="C16" s="3"/>
      <c r="D16" s="3"/>
      <c r="F16"/>
      <c r="G16"/>
      <c r="H16"/>
    </row>
    <row r="17" spans="1:8">
      <c r="A17" s="32" t="s">
        <v>136</v>
      </c>
      <c r="B17" s="32" t="s">
        <v>139</v>
      </c>
      <c r="C17" s="32" t="s">
        <v>140</v>
      </c>
      <c r="D17" s="32" t="s">
        <v>141</v>
      </c>
      <c r="F17"/>
      <c r="G17"/>
      <c r="H17"/>
    </row>
    <row r="18" spans="1:8">
      <c r="A18" s="30" t="s">
        <v>137</v>
      </c>
      <c r="B18" s="31">
        <v>2.5000000000000001E-2</v>
      </c>
      <c r="C18" s="31">
        <v>3.5999999999999997E-2</v>
      </c>
      <c r="D18" s="31">
        <v>0.03</v>
      </c>
      <c r="F18"/>
      <c r="G18"/>
      <c r="H18"/>
    </row>
    <row r="19" spans="1:8">
      <c r="A19" s="30" t="s">
        <v>138</v>
      </c>
      <c r="B19" s="31">
        <v>0.02</v>
      </c>
      <c r="C19" s="31">
        <v>4.8000000000000001E-2</v>
      </c>
      <c r="D19" s="31">
        <v>3.2000000000000001E-2</v>
      </c>
      <c r="F19"/>
      <c r="G19"/>
      <c r="H19"/>
    </row>
    <row r="20" spans="1:8">
      <c r="A20" s="30" t="s">
        <v>165</v>
      </c>
      <c r="B20" s="31">
        <v>1.2999999999999999E-2</v>
      </c>
      <c r="C20" s="31">
        <v>2.5000000000000001E-2</v>
      </c>
      <c r="D20" s="31">
        <v>1.2E-2</v>
      </c>
      <c r="F20"/>
      <c r="G20"/>
      <c r="H20"/>
    </row>
    <row r="21" spans="1:8">
      <c r="A21" s="30" t="s">
        <v>166</v>
      </c>
      <c r="B21" s="31">
        <v>1.7999999999999999E-2</v>
      </c>
      <c r="C21" s="31">
        <v>4.1000000000000002E-2</v>
      </c>
      <c r="D21" s="31">
        <v>2.8000000000000001E-2</v>
      </c>
      <c r="F21"/>
      <c r="G21"/>
      <c r="H21"/>
    </row>
    <row r="22" spans="1:8">
      <c r="B22"/>
      <c r="C22"/>
      <c r="F22"/>
      <c r="G22"/>
      <c r="H22"/>
    </row>
    <row r="23" spans="1:8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/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workbookViewId="0"/>
  </sheetViews>
  <sheetFormatPr defaultRowHeight="16.5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>
      <c r="A1" s="2" t="s">
        <v>73</v>
      </c>
      <c r="B1" s="2"/>
      <c r="C1" s="2"/>
      <c r="D1" s="2"/>
      <c r="E1" s="2"/>
    </row>
    <row r="2" spans="1:7">
      <c r="A2" s="3"/>
      <c r="B2" s="3"/>
      <c r="C2" s="3"/>
      <c r="D2" s="3"/>
    </row>
    <row r="3" spans="1:7" ht="17.45" customHeight="1">
      <c r="A3" s="39" t="s">
        <v>57</v>
      </c>
      <c r="B3" s="39" t="s">
        <v>67</v>
      </c>
      <c r="C3" s="39" t="s">
        <v>68</v>
      </c>
      <c r="D3" s="39" t="s">
        <v>69</v>
      </c>
      <c r="E3" s="39" t="s">
        <v>70</v>
      </c>
      <c r="F3" s="39" t="s">
        <v>71</v>
      </c>
      <c r="G3" s="39" t="s">
        <v>72</v>
      </c>
    </row>
    <row r="4" spans="1:7" ht="17.45" customHeight="1">
      <c r="A4" s="30" t="s">
        <v>58</v>
      </c>
      <c r="B4" s="30" t="s">
        <v>60</v>
      </c>
      <c r="C4" s="40">
        <v>38</v>
      </c>
      <c r="D4" s="40">
        <v>12</v>
      </c>
      <c r="E4" s="40">
        <v>2</v>
      </c>
      <c r="F4" s="40">
        <v>1</v>
      </c>
      <c r="G4" s="40"/>
    </row>
    <row r="5" spans="1:7" ht="17.45" customHeight="1">
      <c r="A5" s="30" t="s">
        <v>58</v>
      </c>
      <c r="B5" s="30" t="s">
        <v>61</v>
      </c>
      <c r="C5" s="40">
        <v>43</v>
      </c>
      <c r="D5" s="40">
        <v>118</v>
      </c>
      <c r="E5" s="40">
        <v>133</v>
      </c>
      <c r="F5" s="40">
        <v>616</v>
      </c>
      <c r="G5" s="40"/>
    </row>
    <row r="6" spans="1:7" ht="17.45" customHeight="1">
      <c r="A6" s="30" t="s">
        <v>58</v>
      </c>
      <c r="B6" s="30" t="s">
        <v>62</v>
      </c>
      <c r="C6" s="40">
        <v>2</v>
      </c>
      <c r="D6" s="40">
        <v>2</v>
      </c>
      <c r="E6" s="40">
        <v>0</v>
      </c>
      <c r="F6" s="40">
        <v>0</v>
      </c>
      <c r="G6" s="40"/>
    </row>
    <row r="7" spans="1:7" ht="17.45" customHeight="1">
      <c r="A7" s="30" t="s">
        <v>58</v>
      </c>
      <c r="B7" s="30" t="s">
        <v>63</v>
      </c>
      <c r="C7" s="40">
        <v>38</v>
      </c>
      <c r="D7" s="40">
        <v>34</v>
      </c>
      <c r="E7" s="40">
        <v>2</v>
      </c>
      <c r="F7" s="40">
        <v>1</v>
      </c>
      <c r="G7" s="40"/>
    </row>
    <row r="8" spans="1:7" ht="17.45" customHeight="1">
      <c r="A8" s="30" t="s">
        <v>58</v>
      </c>
      <c r="B8" s="30" t="s">
        <v>64</v>
      </c>
      <c r="C8" s="40">
        <v>43</v>
      </c>
      <c r="D8" s="40">
        <v>79</v>
      </c>
      <c r="E8" s="40">
        <v>36</v>
      </c>
      <c r="F8" s="40">
        <v>2</v>
      </c>
      <c r="G8" s="40"/>
    </row>
    <row r="9" spans="1:7" ht="17.45" customHeight="1">
      <c r="A9" s="30" t="s">
        <v>58</v>
      </c>
      <c r="B9" s="30" t="s">
        <v>65</v>
      </c>
      <c r="C9" s="40">
        <v>22</v>
      </c>
      <c r="D9" s="40">
        <v>1</v>
      </c>
      <c r="E9" s="40">
        <v>2</v>
      </c>
      <c r="F9" s="40">
        <v>0</v>
      </c>
      <c r="G9" s="40"/>
    </row>
    <row r="10" spans="1:7" ht="17.45" customHeight="1">
      <c r="A10" s="30" t="s">
        <v>59</v>
      </c>
      <c r="B10" s="30" t="s">
        <v>66</v>
      </c>
      <c r="C10" s="40">
        <v>0</v>
      </c>
      <c r="D10" s="40">
        <v>0</v>
      </c>
      <c r="E10" s="40">
        <v>1</v>
      </c>
      <c r="F10" s="40">
        <v>0</v>
      </c>
      <c r="G10" s="40"/>
    </row>
    <row r="11" spans="1:7" ht="17.45" customHeight="1">
      <c r="A11" s="30" t="s">
        <v>59</v>
      </c>
      <c r="B11" s="30" t="s">
        <v>63</v>
      </c>
      <c r="C11" s="40">
        <v>10</v>
      </c>
      <c r="D11" s="40">
        <v>5</v>
      </c>
      <c r="E11" s="40">
        <v>6</v>
      </c>
      <c r="F11" s="40">
        <v>0</v>
      </c>
      <c r="G11" s="40"/>
    </row>
    <row r="12" spans="1:7" ht="17.45" customHeight="1">
      <c r="A12" s="30" t="s">
        <v>59</v>
      </c>
      <c r="B12" s="30" t="s">
        <v>65</v>
      </c>
      <c r="C12" s="40">
        <v>68</v>
      </c>
      <c r="D12" s="40">
        <v>26</v>
      </c>
      <c r="E12" s="40">
        <v>10</v>
      </c>
      <c r="F12" s="40">
        <v>1</v>
      </c>
      <c r="G12" s="40"/>
    </row>
    <row r="13" spans="1:7" ht="17.45" customHeight="1">
      <c r="A13" s="30" t="s">
        <v>59</v>
      </c>
      <c r="B13" s="30" t="s">
        <v>61</v>
      </c>
      <c r="C13" s="40">
        <v>20</v>
      </c>
      <c r="D13" s="40">
        <v>96</v>
      </c>
      <c r="E13" s="40">
        <v>153</v>
      </c>
      <c r="F13" s="41">
        <v>1837</v>
      </c>
      <c r="G13" s="40"/>
    </row>
    <row r="14" spans="1:7" ht="17.45" customHeight="1">
      <c r="A14" s="30" t="s">
        <v>59</v>
      </c>
      <c r="B14" s="30" t="s">
        <v>64</v>
      </c>
      <c r="C14" s="40">
        <v>1</v>
      </c>
      <c r="D14" s="40">
        <v>3</v>
      </c>
      <c r="E14" s="40">
        <v>1</v>
      </c>
      <c r="F14" s="40">
        <v>0</v>
      </c>
      <c r="G14" s="40"/>
    </row>
    <row r="15" spans="1:7" ht="17.45" customHeight="1">
      <c r="A15" s="39" t="s">
        <v>59</v>
      </c>
      <c r="B15" s="39" t="s">
        <v>60</v>
      </c>
      <c r="C15" s="42">
        <v>4</v>
      </c>
      <c r="D15" s="42">
        <v>0</v>
      </c>
      <c r="E15" s="42">
        <v>0</v>
      </c>
      <c r="F15" s="42">
        <v>0</v>
      </c>
      <c r="G15" s="4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0" workbookViewId="0"/>
  </sheetViews>
  <sheetFormatPr defaultRowHeight="16.5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>
      <c r="B1" s="25" t="s">
        <v>80</v>
      </c>
    </row>
    <row r="3" spans="2:7" ht="49.5">
      <c r="B3" s="24" t="s">
        <v>4</v>
      </c>
      <c r="C3" s="24" t="s">
        <v>75</v>
      </c>
      <c r="D3" s="24" t="s">
        <v>76</v>
      </c>
      <c r="E3" s="24" t="s">
        <v>77</v>
      </c>
      <c r="F3" s="24" t="s">
        <v>78</v>
      </c>
      <c r="G3" s="24" t="s">
        <v>79</v>
      </c>
    </row>
    <row r="4" spans="2:7">
      <c r="B4" s="15">
        <v>46082</v>
      </c>
      <c r="C4" s="14">
        <v>75</v>
      </c>
      <c r="D4" s="14">
        <v>145</v>
      </c>
      <c r="E4" s="14">
        <v>120</v>
      </c>
      <c r="F4" s="14">
        <v>120</v>
      </c>
      <c r="G4" s="14">
        <v>80</v>
      </c>
    </row>
    <row r="5" spans="2:7">
      <c r="B5" s="15">
        <v>46083</v>
      </c>
      <c r="C5" s="14">
        <v>98</v>
      </c>
      <c r="D5" s="14">
        <v>155</v>
      </c>
      <c r="E5" s="14">
        <v>130</v>
      </c>
      <c r="F5" s="14">
        <v>125</v>
      </c>
      <c r="G5" s="14">
        <v>82</v>
      </c>
    </row>
    <row r="6" spans="2:7">
      <c r="B6" s="15">
        <v>46084</v>
      </c>
      <c r="C6" s="14">
        <v>92</v>
      </c>
      <c r="D6" s="14">
        <v>140</v>
      </c>
      <c r="E6" s="14">
        <v>125</v>
      </c>
      <c r="F6" s="14">
        <v>130</v>
      </c>
      <c r="G6" s="14">
        <v>85</v>
      </c>
    </row>
    <row r="7" spans="2:7">
      <c r="B7" s="15">
        <v>46085</v>
      </c>
      <c r="C7" s="14">
        <v>140</v>
      </c>
      <c r="D7" s="14">
        <v>160</v>
      </c>
      <c r="E7" s="14">
        <v>140</v>
      </c>
      <c r="F7" s="14">
        <v>135</v>
      </c>
      <c r="G7" s="14">
        <v>88</v>
      </c>
    </row>
    <row r="8" spans="2:7">
      <c r="B8" s="15">
        <v>46086</v>
      </c>
      <c r="C8" s="14">
        <v>90</v>
      </c>
      <c r="D8" s="14">
        <v>135</v>
      </c>
      <c r="E8" s="14">
        <v>120</v>
      </c>
      <c r="F8" s="14">
        <v>125</v>
      </c>
      <c r="G8" s="14">
        <v>80</v>
      </c>
    </row>
    <row r="9" spans="2:7">
      <c r="B9" s="15">
        <v>46087</v>
      </c>
      <c r="C9" s="14">
        <v>95</v>
      </c>
      <c r="D9" s="14">
        <v>150</v>
      </c>
      <c r="E9" s="14">
        <v>130</v>
      </c>
      <c r="F9" s="14">
        <v>130</v>
      </c>
      <c r="G9" s="14">
        <v>82</v>
      </c>
    </row>
    <row r="10" spans="2:7">
      <c r="B10" s="15">
        <v>46088</v>
      </c>
      <c r="C10" s="14">
        <v>85</v>
      </c>
      <c r="D10" s="14">
        <v>130</v>
      </c>
      <c r="E10" s="14">
        <v>115</v>
      </c>
      <c r="F10" s="14">
        <v>120</v>
      </c>
      <c r="G10" s="14">
        <v>78</v>
      </c>
    </row>
    <row r="11" spans="2:7">
      <c r="B11" s="15">
        <v>46089</v>
      </c>
      <c r="C11" s="14">
        <v>105</v>
      </c>
      <c r="D11" s="14">
        <v>170</v>
      </c>
      <c r="E11" s="14">
        <v>145</v>
      </c>
      <c r="F11" s="14">
        <v>180</v>
      </c>
      <c r="G11" s="14">
        <v>90</v>
      </c>
    </row>
    <row r="12" spans="2:7">
      <c r="B12" s="15">
        <v>46090</v>
      </c>
      <c r="C12" s="14">
        <v>92</v>
      </c>
      <c r="D12" s="14">
        <v>145</v>
      </c>
      <c r="E12" s="14">
        <v>125</v>
      </c>
      <c r="F12" s="14">
        <v>128</v>
      </c>
      <c r="G12" s="14">
        <v>82</v>
      </c>
    </row>
    <row r="13" spans="2:7">
      <c r="B13" s="15">
        <v>46091</v>
      </c>
      <c r="C13" s="14">
        <v>170</v>
      </c>
      <c r="D13" s="14">
        <v>155</v>
      </c>
      <c r="E13" s="14">
        <v>135</v>
      </c>
      <c r="F13" s="14">
        <v>132</v>
      </c>
      <c r="G13" s="14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2025-04-17T11:14:08Z</dcterms:modified>
</cp:coreProperties>
</file>