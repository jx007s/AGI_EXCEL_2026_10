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상시시험문제\"/>
    </mc:Choice>
  </mc:AlternateContent>
  <xr:revisionPtr revIDLastSave="0" documentId="13_ncr:1_{70F390B3-6194-4C76-A181-9A59A4654CF6}" xr6:coauthVersionLast="47" xr6:coauthVersionMax="47" xr10:uidLastSave="{00000000-0000-0000-0000-000000000000}"/>
  <bookViews>
    <workbookView xWindow="320" yWindow="3610" windowWidth="15920" windowHeight="12440" tabRatio="882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8" r:id="rId4"/>
    <sheet name="분석작업-1" sheetId="4" r:id="rId5"/>
    <sheet name="분석작업-2" sheetId="5" r:id="rId6"/>
    <sheet name="매크로작업" sheetId="6" r:id="rId7"/>
    <sheet name="차트작업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8" l="1"/>
  <c r="I11" i="8"/>
  <c r="I10" i="8"/>
  <c r="I9" i="8"/>
  <c r="I8" i="8"/>
  <c r="I7" i="8"/>
  <c r="I6" i="8"/>
  <c r="I5" i="8"/>
  <c r="I4" i="8"/>
  <c r="I3" i="8"/>
  <c r="E10" i="5"/>
  <c r="F10" i="5" s="1"/>
  <c r="E9" i="5"/>
  <c r="F9" i="5" s="1"/>
  <c r="E8" i="5"/>
  <c r="F8" i="5" s="1"/>
  <c r="E7" i="5"/>
  <c r="F7" i="5" s="1"/>
  <c r="E6" i="5"/>
  <c r="F6" i="5" s="1"/>
  <c r="E5" i="5"/>
  <c r="F5" i="5" s="1"/>
  <c r="E4" i="5"/>
  <c r="F4" i="5" s="1"/>
  <c r="D12" i="4"/>
  <c r="D11" i="4"/>
  <c r="D10" i="4"/>
  <c r="D9" i="4"/>
  <c r="D8" i="4"/>
  <c r="D7" i="4"/>
  <c r="D6" i="4"/>
  <c r="D5" i="4"/>
  <c r="D4" i="4"/>
  <c r="F11" i="5" l="1"/>
</calcChain>
</file>

<file path=xl/sharedStrings.xml><?xml version="1.0" encoding="utf-8"?>
<sst xmlns="http://schemas.openxmlformats.org/spreadsheetml/2006/main" count="313" uniqueCount="286">
  <si>
    <t>상공스포츠센터 레슨 현황</t>
    <phoneticPr fontId="3" type="noConversion"/>
  </si>
  <si>
    <t>종목명</t>
    <phoneticPr fontId="3" type="noConversion"/>
  </si>
  <si>
    <t>수강코드</t>
    <phoneticPr fontId="3" type="noConversion"/>
  </si>
  <si>
    <t>담당코치</t>
    <phoneticPr fontId="3" type="noConversion"/>
  </si>
  <si>
    <t>레슨인원</t>
    <phoneticPr fontId="3" type="noConversion"/>
  </si>
  <si>
    <t>레슨요일</t>
    <phoneticPr fontId="3" type="noConversion"/>
  </si>
  <si>
    <t>테니스</t>
    <phoneticPr fontId="3" type="noConversion"/>
  </si>
  <si>
    <t>TE-103</t>
    <phoneticPr fontId="3" type="noConversion"/>
  </si>
  <si>
    <t>초급</t>
    <phoneticPr fontId="3" type="noConversion"/>
  </si>
  <si>
    <t>이영택</t>
    <phoneticPr fontId="3" type="noConversion"/>
  </si>
  <si>
    <t>월</t>
    <phoneticPr fontId="3" type="noConversion"/>
  </si>
  <si>
    <t>탁구</t>
    <phoneticPr fontId="3" type="noConversion"/>
  </si>
  <si>
    <t>TT-104</t>
    <phoneticPr fontId="3" type="noConversion"/>
  </si>
  <si>
    <t>윤승민</t>
    <phoneticPr fontId="3" type="noConversion"/>
  </si>
  <si>
    <t>화</t>
    <phoneticPr fontId="3" type="noConversion"/>
  </si>
  <si>
    <t>배드민턴</t>
    <phoneticPr fontId="3" type="noConversion"/>
  </si>
  <si>
    <t>BT-105</t>
    <phoneticPr fontId="3" type="noConversion"/>
  </si>
  <si>
    <t>임용대</t>
    <phoneticPr fontId="3" type="noConversion"/>
  </si>
  <si>
    <t>수</t>
    <phoneticPr fontId="3" type="noConversion"/>
  </si>
  <si>
    <t>골프</t>
    <phoneticPr fontId="3" type="noConversion"/>
  </si>
  <si>
    <t>GF-106</t>
    <phoneticPr fontId="3" type="noConversion"/>
  </si>
  <si>
    <t>김세리</t>
    <phoneticPr fontId="3" type="noConversion"/>
  </si>
  <si>
    <t>목</t>
    <phoneticPr fontId="3" type="noConversion"/>
  </si>
  <si>
    <t>테니스</t>
    <phoneticPr fontId="3" type="noConversion"/>
  </si>
  <si>
    <t>TE-203</t>
    <phoneticPr fontId="3" type="noConversion"/>
  </si>
  <si>
    <t>중급</t>
    <phoneticPr fontId="3" type="noConversion"/>
  </si>
  <si>
    <t>정미라</t>
    <phoneticPr fontId="3" type="noConversion"/>
  </si>
  <si>
    <t>화</t>
    <phoneticPr fontId="3" type="noConversion"/>
  </si>
  <si>
    <t>탁구</t>
    <phoneticPr fontId="3" type="noConversion"/>
  </si>
  <si>
    <t>TT-204</t>
    <phoneticPr fontId="3" type="noConversion"/>
  </si>
  <si>
    <t>연정화</t>
    <phoneticPr fontId="3" type="noConversion"/>
  </si>
  <si>
    <t>수</t>
    <phoneticPr fontId="3" type="noConversion"/>
  </si>
  <si>
    <t>BT-205</t>
    <phoneticPr fontId="3" type="noConversion"/>
  </si>
  <si>
    <t>박수현</t>
    <phoneticPr fontId="3" type="noConversion"/>
  </si>
  <si>
    <t>목</t>
    <phoneticPr fontId="3" type="noConversion"/>
  </si>
  <si>
    <t>골프</t>
    <phoneticPr fontId="3" type="noConversion"/>
  </si>
  <si>
    <t>GF-206</t>
    <phoneticPr fontId="3" type="noConversion"/>
  </si>
  <si>
    <t>조경주</t>
    <phoneticPr fontId="3" type="noConversion"/>
  </si>
  <si>
    <t>목</t>
    <phoneticPr fontId="3" type="noConversion"/>
  </si>
  <si>
    <t>테니스</t>
    <phoneticPr fontId="3" type="noConversion"/>
  </si>
  <si>
    <t>TE-303</t>
    <phoneticPr fontId="3" type="noConversion"/>
  </si>
  <si>
    <t>이영택</t>
    <phoneticPr fontId="3" type="noConversion"/>
  </si>
  <si>
    <t>월</t>
    <phoneticPr fontId="3" type="noConversion"/>
  </si>
  <si>
    <t>TT-304</t>
    <phoneticPr fontId="3" type="noConversion"/>
  </si>
  <si>
    <t>강택수</t>
    <phoneticPr fontId="3" type="noConversion"/>
  </si>
  <si>
    <t>배드민턴</t>
    <phoneticPr fontId="3" type="noConversion"/>
  </si>
  <si>
    <t>BT-305</t>
    <phoneticPr fontId="3" type="noConversion"/>
  </si>
  <si>
    <t>윤연성</t>
    <phoneticPr fontId="3" type="noConversion"/>
  </si>
  <si>
    <t>GF-306</t>
    <phoneticPr fontId="3" type="noConversion"/>
  </si>
  <si>
    <t>김인비</t>
    <phoneticPr fontId="3" type="noConversion"/>
  </si>
  <si>
    <t>등급</t>
    <phoneticPr fontId="3" type="noConversion"/>
  </si>
  <si>
    <t>고급</t>
    <phoneticPr fontId="3" type="noConversion"/>
  </si>
  <si>
    <t>상공문류센터 지역별 관리현황</t>
    <phoneticPr fontId="3" type="noConversion"/>
  </si>
  <si>
    <t>관리코드</t>
    <phoneticPr fontId="3" type="noConversion"/>
  </si>
  <si>
    <t>준공일자</t>
    <phoneticPr fontId="3" type="noConversion"/>
  </si>
  <si>
    <t>센터명</t>
    <phoneticPr fontId="3" type="noConversion"/>
  </si>
  <si>
    <t>책임자명</t>
    <phoneticPr fontId="3" type="noConversion"/>
  </si>
  <si>
    <t>면적(제곱미터)</t>
    <phoneticPr fontId="3" type="noConversion"/>
  </si>
  <si>
    <t>근무인원</t>
    <phoneticPr fontId="3" type="noConversion"/>
  </si>
  <si>
    <t>SGL-21-001</t>
    <phoneticPr fontId="3" type="noConversion"/>
  </si>
  <si>
    <t>파주</t>
    <phoneticPr fontId="3" type="noConversion"/>
  </si>
  <si>
    <t>선명철</t>
    <phoneticPr fontId="3" type="noConversion"/>
  </si>
  <si>
    <t>SGL-20-001</t>
    <phoneticPr fontId="3" type="noConversion"/>
  </si>
  <si>
    <t>광주</t>
    <phoneticPr fontId="3" type="noConversion"/>
  </si>
  <si>
    <t>김종호</t>
    <phoneticPr fontId="3" type="noConversion"/>
  </si>
  <si>
    <t>SGL-19-002</t>
    <phoneticPr fontId="3" type="noConversion"/>
  </si>
  <si>
    <t>대전</t>
    <phoneticPr fontId="3" type="noConversion"/>
  </si>
  <si>
    <t>유연석</t>
    <phoneticPr fontId="3" type="noConversion"/>
  </si>
  <si>
    <t>SGL-19-001</t>
    <phoneticPr fontId="3" type="noConversion"/>
  </si>
  <si>
    <t>대구</t>
    <phoneticPr fontId="3" type="noConversion"/>
  </si>
  <si>
    <t>김호성</t>
    <phoneticPr fontId="3" type="noConversion"/>
  </si>
  <si>
    <t>SGL-20-002</t>
    <phoneticPr fontId="3" type="noConversion"/>
  </si>
  <si>
    <t>화성</t>
    <phoneticPr fontId="3" type="noConversion"/>
  </si>
  <si>
    <t>민정연</t>
    <phoneticPr fontId="3" type="noConversion"/>
  </si>
  <si>
    <t>SGL-19-003</t>
    <phoneticPr fontId="3" type="noConversion"/>
  </si>
  <si>
    <t>부천</t>
    <phoneticPr fontId="3" type="noConversion"/>
  </si>
  <si>
    <t>서유미</t>
    <phoneticPr fontId="3" type="noConversion"/>
  </si>
  <si>
    <t>SGL-19-005</t>
    <phoneticPr fontId="3" type="noConversion"/>
  </si>
  <si>
    <t>수원</t>
    <phoneticPr fontId="3" type="noConversion"/>
  </si>
  <si>
    <t>강소유</t>
    <phoneticPr fontId="3" type="noConversion"/>
  </si>
  <si>
    <t>SGL-20-003</t>
    <phoneticPr fontId="3" type="noConversion"/>
  </si>
  <si>
    <t>부산</t>
    <phoneticPr fontId="3" type="noConversion"/>
  </si>
  <si>
    <t>정이정</t>
    <phoneticPr fontId="3" type="noConversion"/>
  </si>
  <si>
    <t>SGL-21-002</t>
    <phoneticPr fontId="3" type="noConversion"/>
  </si>
  <si>
    <t>제주</t>
    <phoneticPr fontId="3" type="noConversion"/>
  </si>
  <si>
    <t>최정윤</t>
    <phoneticPr fontId="3" type="noConversion"/>
  </si>
  <si>
    <t>SGL-19-004</t>
    <phoneticPr fontId="3" type="noConversion"/>
  </si>
  <si>
    <t>세종</t>
    <phoneticPr fontId="3" type="noConversion"/>
  </si>
  <si>
    <t>김나래</t>
    <phoneticPr fontId="3" type="noConversion"/>
  </si>
  <si>
    <t>SGL-21-003</t>
    <phoneticPr fontId="3" type="noConversion"/>
  </si>
  <si>
    <t>춘천</t>
    <phoneticPr fontId="3" type="noConversion"/>
  </si>
  <si>
    <t>성기창</t>
    <phoneticPr fontId="3" type="noConversion"/>
  </si>
  <si>
    <t>SGL-20-004</t>
    <phoneticPr fontId="3" type="noConversion"/>
  </si>
  <si>
    <t>청주</t>
    <phoneticPr fontId="3" type="noConversion"/>
  </si>
  <si>
    <t>한영미</t>
    <phoneticPr fontId="3" type="noConversion"/>
  </si>
  <si>
    <t>SGL-19-007</t>
    <phoneticPr fontId="3" type="noConversion"/>
  </si>
  <si>
    <t>전주</t>
    <phoneticPr fontId="3" type="noConversion"/>
  </si>
  <si>
    <t>윤수연</t>
    <phoneticPr fontId="3" type="noConversion"/>
  </si>
  <si>
    <t>SGL-19-006</t>
    <phoneticPr fontId="3" type="noConversion"/>
  </si>
  <si>
    <t>안양</t>
    <phoneticPr fontId="3" type="noConversion"/>
  </si>
  <si>
    <t>강연수</t>
    <phoneticPr fontId="3" type="noConversion"/>
  </si>
  <si>
    <t>꽃축제 현황</t>
    <phoneticPr fontId="3" type="noConversion"/>
  </si>
  <si>
    <t>영업점별 굿즈 주문 현황</t>
    <phoneticPr fontId="2" type="noConversion"/>
  </si>
  <si>
    <t>영업점</t>
    <phoneticPr fontId="2" type="noConversion"/>
  </si>
  <si>
    <t>주문량</t>
  </si>
  <si>
    <t>단가</t>
  </si>
  <si>
    <t>판매액</t>
    <phoneticPr fontId="2" type="noConversion"/>
  </si>
  <si>
    <t>을지로점</t>
    <phoneticPr fontId="2" type="noConversion"/>
  </si>
  <si>
    <t>강남점</t>
    <phoneticPr fontId="2" type="noConversion"/>
  </si>
  <si>
    <t>노원점</t>
    <phoneticPr fontId="2" type="noConversion"/>
  </si>
  <si>
    <t>송파점</t>
    <phoneticPr fontId="2" type="noConversion"/>
  </si>
  <si>
    <t>강동점</t>
    <phoneticPr fontId="2" type="noConversion"/>
  </si>
  <si>
    <t>강서점</t>
    <phoneticPr fontId="2" type="noConversion"/>
  </si>
  <si>
    <t>구로점</t>
    <phoneticPr fontId="2" type="noConversion"/>
  </si>
  <si>
    <t>동작점</t>
    <phoneticPr fontId="2" type="noConversion"/>
  </si>
  <si>
    <t>영등포점</t>
    <phoneticPr fontId="2" type="noConversion"/>
  </si>
  <si>
    <t>제품 납품 현황</t>
    <phoneticPr fontId="2" type="noConversion"/>
  </si>
  <si>
    <t>제품코드</t>
    <phoneticPr fontId="2" type="noConversion"/>
  </si>
  <si>
    <t>거래처명</t>
    <phoneticPr fontId="2" type="noConversion"/>
  </si>
  <si>
    <t>출고량</t>
    <phoneticPr fontId="2" type="noConversion"/>
  </si>
  <si>
    <t>출고가</t>
    <phoneticPr fontId="2" type="noConversion"/>
  </si>
  <si>
    <t>출고총액</t>
    <phoneticPr fontId="2" type="noConversion"/>
  </si>
  <si>
    <t>이익금합계</t>
    <phoneticPr fontId="2" type="noConversion"/>
  </si>
  <si>
    <t>TB-828</t>
  </si>
  <si>
    <t>정금상사</t>
    <phoneticPr fontId="2" type="noConversion"/>
  </si>
  <si>
    <t>WQ-246</t>
  </si>
  <si>
    <t>대구상사</t>
    <phoneticPr fontId="2" type="noConversion"/>
  </si>
  <si>
    <t>LC-296</t>
  </si>
  <si>
    <t>동광물류</t>
    <phoneticPr fontId="2" type="noConversion"/>
  </si>
  <si>
    <t>JW-369</t>
    <phoneticPr fontId="3" type="noConversion"/>
  </si>
  <si>
    <t>재원상사</t>
    <phoneticPr fontId="3" type="noConversion"/>
  </si>
  <si>
    <t>TB-451</t>
  </si>
  <si>
    <t>남호상사</t>
    <phoneticPr fontId="2" type="noConversion"/>
  </si>
  <si>
    <t>LC-592</t>
  </si>
  <si>
    <t>우주상사</t>
    <phoneticPr fontId="2" type="noConversion"/>
  </si>
  <si>
    <t>WQ-489</t>
  </si>
  <si>
    <t>나주상사</t>
    <phoneticPr fontId="2" type="noConversion"/>
  </si>
  <si>
    <t>총이익금합계</t>
    <phoneticPr fontId="2" type="noConversion"/>
  </si>
  <si>
    <t>이익률</t>
    <phoneticPr fontId="2" type="noConversion"/>
  </si>
  <si>
    <t>이름</t>
    <phoneticPr fontId="2" type="noConversion"/>
  </si>
  <si>
    <t>학과</t>
    <phoneticPr fontId="2" type="noConversion"/>
  </si>
  <si>
    <t>과제</t>
    <phoneticPr fontId="2" type="noConversion"/>
  </si>
  <si>
    <t>출석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</si>
  <si>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</si>
  <si>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</si>
  <si>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</si>
  <si>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이현정</t>
    <phoneticPr fontId="2" type="noConversion"/>
  </si>
  <si>
    <t>컴퓨터공학과</t>
    <phoneticPr fontId="2" type="noConversion"/>
  </si>
  <si>
    <t>송수정</t>
    <phoneticPr fontId="2" type="noConversion"/>
  </si>
  <si>
    <t>컴퓨터공학과</t>
    <phoneticPr fontId="2" type="noConversion"/>
  </si>
  <si>
    <t>문병용</t>
    <phoneticPr fontId="2" type="noConversion"/>
  </si>
  <si>
    <t>김혜영</t>
    <phoneticPr fontId="2" type="noConversion"/>
  </si>
  <si>
    <t>이문성</t>
    <phoneticPr fontId="2" type="noConversion"/>
  </si>
  <si>
    <t>전자공학과</t>
    <phoneticPr fontId="2" type="noConversion"/>
  </si>
  <si>
    <t>우용표</t>
    <phoneticPr fontId="2" type="noConversion"/>
  </si>
  <si>
    <t>김후영</t>
    <phoneticPr fontId="2" type="noConversion"/>
  </si>
  <si>
    <t>김민국</t>
    <phoneticPr fontId="2" type="noConversion"/>
  </si>
  <si>
    <t>성명</t>
    <phoneticPr fontId="9" type="noConversion"/>
  </si>
  <si>
    <t>부서</t>
    <phoneticPr fontId="9" type="noConversion"/>
  </si>
  <si>
    <t>출장지</t>
    <phoneticPr fontId="9" type="noConversion"/>
  </si>
  <si>
    <t>출장기간</t>
    <phoneticPr fontId="9" type="noConversion"/>
  </si>
  <si>
    <t>출장비</t>
    <phoneticPr fontId="9" type="noConversion"/>
  </si>
  <si>
    <t>교통비</t>
    <phoneticPr fontId="9" type="noConversion"/>
  </si>
  <si>
    <t>김경화</t>
  </si>
  <si>
    <t>관리부</t>
    <phoneticPr fontId="9" type="noConversion"/>
  </si>
  <si>
    <t>대전</t>
  </si>
  <si>
    <t>김우연</t>
  </si>
  <si>
    <t>기획실</t>
    <phoneticPr fontId="9" type="noConversion"/>
  </si>
  <si>
    <t>제주도</t>
  </si>
  <si>
    <t>김학주</t>
  </si>
  <si>
    <t>관리부</t>
    <phoneticPr fontId="9" type="noConversion"/>
  </si>
  <si>
    <t>부산</t>
  </si>
  <si>
    <t>박상범</t>
  </si>
  <si>
    <t>영업부</t>
    <phoneticPr fontId="9" type="noConversion"/>
  </si>
  <si>
    <t>박은수</t>
  </si>
  <si>
    <t>배민석</t>
  </si>
  <si>
    <t>세종</t>
  </si>
  <si>
    <t>오재석</t>
  </si>
  <si>
    <t>영업부</t>
    <phoneticPr fontId="9" type="noConversion"/>
  </si>
  <si>
    <t>유현재</t>
  </si>
  <si>
    <t>총무부</t>
  </si>
  <si>
    <t>음용선</t>
  </si>
  <si>
    <t>이소은</t>
  </si>
  <si>
    <t>[표1]</t>
    <phoneticPr fontId="3" type="noConversion"/>
  </si>
  <si>
    <t>[표2]</t>
    <phoneticPr fontId="2" type="noConversion"/>
  </si>
  <si>
    <t>사원명</t>
    <phoneticPr fontId="12" type="noConversion"/>
  </si>
  <si>
    <t>대리점</t>
    <phoneticPr fontId="12" type="noConversion"/>
  </si>
  <si>
    <t>매출금액</t>
    <phoneticPr fontId="12" type="noConversion"/>
  </si>
  <si>
    <t>성명</t>
  </si>
  <si>
    <t>중간고사</t>
  </si>
  <si>
    <t>기말고사</t>
  </si>
  <si>
    <t>평균</t>
  </si>
  <si>
    <t>비고</t>
    <phoneticPr fontId="3" type="noConversion"/>
  </si>
  <si>
    <t>조현우</t>
    <phoneticPr fontId="12" type="noConversion"/>
  </si>
  <si>
    <t>서울</t>
    <phoneticPr fontId="12" type="noConversion"/>
  </si>
  <si>
    <t>전서윤</t>
  </si>
  <si>
    <t>김혁진</t>
    <phoneticPr fontId="12" type="noConversion"/>
  </si>
  <si>
    <t>부산</t>
    <phoneticPr fontId="12" type="noConversion"/>
  </si>
  <si>
    <t>민지수</t>
  </si>
  <si>
    <t>민준수</t>
    <phoneticPr fontId="12" type="noConversion"/>
  </si>
  <si>
    <t>광주</t>
    <phoneticPr fontId="12" type="noConversion"/>
  </si>
  <si>
    <t>정혜성</t>
  </si>
  <si>
    <t>성도경</t>
    <phoneticPr fontId="2" type="noConversion"/>
  </si>
  <si>
    <t>윤여운</t>
  </si>
  <si>
    <t>곽승호</t>
    <phoneticPr fontId="2" type="noConversion"/>
  </si>
  <si>
    <t>강소라</t>
  </si>
  <si>
    <t>서현국</t>
    <phoneticPr fontId="12" type="noConversion"/>
  </si>
  <si>
    <t>부산</t>
    <phoneticPr fontId="12" type="noConversion"/>
  </si>
  <si>
    <t>김채연</t>
  </si>
  <si>
    <t>이정현</t>
    <phoneticPr fontId="12" type="noConversion"/>
  </si>
  <si>
    <t>광주</t>
    <phoneticPr fontId="12" type="noConversion"/>
  </si>
  <si>
    <t>이진희</t>
  </si>
  <si>
    <t>박정호</t>
    <phoneticPr fontId="12" type="noConversion"/>
  </si>
  <si>
    <t>서울</t>
    <phoneticPr fontId="12" type="noConversion"/>
  </si>
  <si>
    <t>&lt;조건&gt;</t>
    <phoneticPr fontId="3" type="noConversion"/>
  </si>
  <si>
    <t>박소율</t>
  </si>
  <si>
    <t>공필승</t>
    <phoneticPr fontId="12" type="noConversion"/>
  </si>
  <si>
    <t>최나영</t>
  </si>
  <si>
    <t>서울 매출금액 평균</t>
    <phoneticPr fontId="3" type="noConversion"/>
  </si>
  <si>
    <t>전연승</t>
    <phoneticPr fontId="2" type="noConversion"/>
  </si>
  <si>
    <t>[표3]</t>
    <phoneticPr fontId="3" type="noConversion"/>
  </si>
  <si>
    <t>[표4]</t>
    <phoneticPr fontId="3" type="noConversion"/>
  </si>
  <si>
    <t>분류</t>
    <phoneticPr fontId="3" type="noConversion"/>
  </si>
  <si>
    <t>브랜드</t>
    <phoneticPr fontId="3" type="noConversion"/>
  </si>
  <si>
    <t>판매실적</t>
    <phoneticPr fontId="3" type="noConversion"/>
  </si>
  <si>
    <t>제품명</t>
    <phoneticPr fontId="3" type="noConversion"/>
  </si>
  <si>
    <t>회원번호</t>
    <phoneticPr fontId="3" type="noConversion"/>
  </si>
  <si>
    <t>구매횟수</t>
    <phoneticPr fontId="3" type="noConversion"/>
  </si>
  <si>
    <t>적립금액</t>
    <phoneticPr fontId="3" type="noConversion"/>
  </si>
  <si>
    <t>회원등급</t>
    <phoneticPr fontId="3" type="noConversion"/>
  </si>
  <si>
    <t>캠핑용품</t>
    <phoneticPr fontId="3" type="noConversion"/>
  </si>
  <si>
    <t>퍼즈</t>
    <phoneticPr fontId="3" type="noConversion"/>
  </si>
  <si>
    <t>캠핑랜턴</t>
    <phoneticPr fontId="3" type="noConversion"/>
  </si>
  <si>
    <t>SG-001</t>
    <phoneticPr fontId="3" type="noConversion"/>
  </si>
  <si>
    <t>주방용품</t>
    <phoneticPr fontId="3" type="noConversion"/>
  </si>
  <si>
    <t>바이마르</t>
    <phoneticPr fontId="3" type="noConversion"/>
  </si>
  <si>
    <t>스텐냄비</t>
    <phoneticPr fontId="3" type="noConversion"/>
  </si>
  <si>
    <t>SG-002</t>
  </si>
  <si>
    <t>욕실용품</t>
    <phoneticPr fontId="3" type="noConversion"/>
  </si>
  <si>
    <t>다올</t>
    <phoneticPr fontId="3" type="noConversion"/>
  </si>
  <si>
    <t>욕실화</t>
    <phoneticPr fontId="3" type="noConversion"/>
  </si>
  <si>
    <t>SG-003</t>
  </si>
  <si>
    <t>캠핑용품</t>
    <phoneticPr fontId="3" type="noConversion"/>
  </si>
  <si>
    <t>토토비즈</t>
    <phoneticPr fontId="3" type="noConversion"/>
  </si>
  <si>
    <t>캠핑매트</t>
    <phoneticPr fontId="3" type="noConversion"/>
  </si>
  <si>
    <t>SG-004</t>
  </si>
  <si>
    <t>주방용품</t>
    <phoneticPr fontId="3" type="noConversion"/>
  </si>
  <si>
    <t>휘슬러</t>
    <phoneticPr fontId="3" type="noConversion"/>
  </si>
  <si>
    <t>프라이팬</t>
    <phoneticPr fontId="3" type="noConversion"/>
  </si>
  <si>
    <t>SG-005</t>
  </si>
  <si>
    <t>욕실용품</t>
    <phoneticPr fontId="3" type="noConversion"/>
  </si>
  <si>
    <t>듀오</t>
    <phoneticPr fontId="3" type="noConversion"/>
  </si>
  <si>
    <t>샤워기</t>
    <phoneticPr fontId="3" type="noConversion"/>
  </si>
  <si>
    <t>SG-006</t>
  </si>
  <si>
    <t>마그피아</t>
    <phoneticPr fontId="3" type="noConversion"/>
  </si>
  <si>
    <t>자석행거</t>
    <phoneticPr fontId="3" type="noConversion"/>
  </si>
  <si>
    <t>SG-007</t>
  </si>
  <si>
    <t>주방용품</t>
    <phoneticPr fontId="3" type="noConversion"/>
  </si>
  <si>
    <t>오블롱</t>
    <phoneticPr fontId="3" type="noConversion"/>
  </si>
  <si>
    <t>식기세트</t>
    <phoneticPr fontId="3" type="noConversion"/>
  </si>
  <si>
    <t>SG-008</t>
  </si>
  <si>
    <t>욕실용품</t>
    <phoneticPr fontId="3" type="noConversion"/>
  </si>
  <si>
    <t>송월</t>
    <phoneticPr fontId="3" type="noConversion"/>
  </si>
  <si>
    <t>타월세트</t>
    <phoneticPr fontId="3" type="noConversion"/>
  </si>
  <si>
    <t>SG-009</t>
  </si>
  <si>
    <t>판매실적이 가장 많은 제품</t>
    <phoneticPr fontId="3" type="noConversion"/>
  </si>
  <si>
    <t>SG-010</t>
  </si>
  <si>
    <t>[표5]</t>
    <phoneticPr fontId="2" type="noConversion"/>
  </si>
  <si>
    <t>사번</t>
    <phoneticPr fontId="2" type="noConversion"/>
  </si>
  <si>
    <t>성별</t>
    <phoneticPr fontId="2" type="noConversion"/>
  </si>
  <si>
    <t>점수</t>
    <phoneticPr fontId="2" type="noConversion"/>
  </si>
  <si>
    <t>C0702</t>
    <phoneticPr fontId="2" type="noConversion"/>
  </si>
  <si>
    <t>여</t>
    <phoneticPr fontId="2" type="noConversion"/>
  </si>
  <si>
    <t>C0704</t>
  </si>
  <si>
    <t>남</t>
    <phoneticPr fontId="2" type="noConversion"/>
  </si>
  <si>
    <t>C0705</t>
  </si>
  <si>
    <t>여</t>
    <phoneticPr fontId="2" type="noConversion"/>
  </si>
  <si>
    <t>C0707</t>
  </si>
  <si>
    <t>남</t>
    <phoneticPr fontId="2" type="noConversion"/>
  </si>
  <si>
    <t>C0708</t>
  </si>
  <si>
    <t>여</t>
    <phoneticPr fontId="2" type="noConversion"/>
  </si>
  <si>
    <t>C0709</t>
  </si>
  <si>
    <t>남</t>
    <phoneticPr fontId="2" type="noConversion"/>
  </si>
  <si>
    <t>C0710</t>
  </si>
  <si>
    <t>C0711</t>
  </si>
  <si>
    <t>남녀 점수 차이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</si>
</sst>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8"/>
      <name val="굴림체"/>
      <family val="3"/>
      <charset val="129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/>
    <xf numFmtId="41" fontId="5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2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5" fillId="0" borderId="0" xfId="2" applyAlignment="1">
      <alignment vertical="center"/>
    </xf>
    <xf numFmtId="0" fontId="5" fillId="0" borderId="1" xfId="2" applyBorder="1" applyAlignment="1">
      <alignment horizontal="center" vertical="center"/>
    </xf>
    <xf numFmtId="0" fontId="5" fillId="0" borderId="1" xfId="2" applyNumberFormat="1" applyBorder="1" applyAlignment="1">
      <alignment horizontal="center" vertical="center"/>
    </xf>
    <xf numFmtId="41" fontId="5" fillId="0" borderId="1" xfId="2" applyNumberFormat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  <xf numFmtId="41" fontId="0" fillId="0" borderId="1" xfId="3" applyNumberFormat="1" applyFont="1" applyBorder="1" applyAlignment="1">
      <alignment horizontal="center" vertical="center"/>
    </xf>
    <xf numFmtId="0" fontId="5" fillId="0" borderId="0" xfId="2" applyBorder="1" applyAlignment="1">
      <alignment horizontal="center" vertical="center"/>
    </xf>
    <xf numFmtId="41" fontId="0" fillId="0" borderId="0" xfId="3" applyNumberFormat="1" applyFont="1" applyBorder="1" applyAlignment="1">
      <alignment horizontal="center" vertical="center"/>
    </xf>
    <xf numFmtId="9" fontId="5" fillId="0" borderId="1" xfId="2" applyNumberFormat="1" applyBorder="1" applyAlignment="1">
      <alignment horizontal="center" vertical="center"/>
    </xf>
    <xf numFmtId="0" fontId="5" fillId="0" borderId="1" xfId="2" applyFill="1" applyBorder="1" applyAlignment="1">
      <alignment horizontal="center" vertical="center"/>
    </xf>
    <xf numFmtId="0" fontId="5" fillId="0" borderId="1" xfId="2" applyBorder="1" applyAlignment="1">
      <alignment vertical="center"/>
    </xf>
    <xf numFmtId="0" fontId="5" fillId="0" borderId="1" xfId="2" applyBorder="1" applyAlignment="1" applyProtection="1">
      <alignment vertical="center"/>
      <protection hidden="1"/>
    </xf>
    <xf numFmtId="0" fontId="8" fillId="0" borderId="1" xfId="2" applyFont="1" applyFill="1" applyBorder="1" applyAlignment="1">
      <alignment horizontal="center" vertical="center"/>
    </xf>
    <xf numFmtId="0" fontId="10" fillId="0" borderId="1" xfId="3" applyNumberFormat="1" applyFont="1" applyFill="1" applyBorder="1" applyAlignment="1">
      <alignment horizontal="center" vertical="center"/>
    </xf>
    <xf numFmtId="14" fontId="10" fillId="0" borderId="1" xfId="2" applyNumberFormat="1" applyFont="1" applyFill="1" applyBorder="1" applyAlignment="1">
      <alignment horizontal="center" vertical="center"/>
    </xf>
    <xf numFmtId="41" fontId="10" fillId="0" borderId="1" xfId="3" applyFont="1" applyFill="1" applyBorder="1" applyAlignment="1">
      <alignment vertical="center"/>
    </xf>
    <xf numFmtId="41" fontId="10" fillId="0" borderId="1" xfId="3" applyFont="1" applyFill="1" applyBorder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0" fillId="0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1" fontId="6" fillId="0" borderId="1" xfId="3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1" fontId="0" fillId="0" borderId="1" xfId="3" applyFont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5" fillId="0" borderId="1" xfId="2" applyBorder="1" applyAlignment="1">
      <alignment horizontal="center" vertical="center"/>
    </xf>
  </cellXfs>
  <cellStyles count="4"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차트작업!$D$2</c:f>
              <c:strCache>
                <c:ptCount val="1"/>
                <c:pt idx="0">
                  <c:v>출장기간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차트작업!$A$3:$A$12</c:f>
              <c:strCache>
                <c:ptCount val="10"/>
                <c:pt idx="0">
                  <c:v>김경화</c:v>
                </c:pt>
                <c:pt idx="1">
                  <c:v>김우연</c:v>
                </c:pt>
                <c:pt idx="2">
                  <c:v>김학주</c:v>
                </c:pt>
                <c:pt idx="3">
                  <c:v>박상범</c:v>
                </c:pt>
                <c:pt idx="4">
                  <c:v>박은수</c:v>
                </c:pt>
                <c:pt idx="5">
                  <c:v>배민석</c:v>
                </c:pt>
                <c:pt idx="6">
                  <c:v>오재석</c:v>
                </c:pt>
                <c:pt idx="7">
                  <c:v>유현재</c:v>
                </c:pt>
                <c:pt idx="8">
                  <c:v>음용선</c:v>
                </c:pt>
                <c:pt idx="9">
                  <c:v>이소은</c:v>
                </c:pt>
              </c:strCache>
            </c:strRef>
          </c:cat>
          <c:val>
            <c:numRef>
              <c:f>차트작업!$D$3:$D$12</c:f>
              <c:numCache>
                <c:formatCode>_(* #,##0_);_(* \(#,##0\);_(* "-"_);_(@_)</c:formatCode>
                <c:ptCount val="10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5</c:v>
                </c:pt>
                <c:pt idx="5">
                  <c:v>7</c:v>
                </c:pt>
                <c:pt idx="6">
                  <c:v>6</c:v>
                </c:pt>
                <c:pt idx="7">
                  <c:v>6</c:v>
                </c:pt>
                <c:pt idx="8">
                  <c:v>8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9C-4412-988D-916FFCD76EB1}"/>
            </c:ext>
          </c:extLst>
        </c:ser>
        <c:ser>
          <c:idx val="1"/>
          <c:order val="1"/>
          <c:tx>
            <c:strRef>
              <c:f>차트작업!$E$2</c:f>
              <c:strCache>
                <c:ptCount val="1"/>
                <c:pt idx="0">
                  <c:v>출장비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차트작업!$A$3:$A$12</c:f>
              <c:strCache>
                <c:ptCount val="10"/>
                <c:pt idx="0">
                  <c:v>김경화</c:v>
                </c:pt>
                <c:pt idx="1">
                  <c:v>김우연</c:v>
                </c:pt>
                <c:pt idx="2">
                  <c:v>김학주</c:v>
                </c:pt>
                <c:pt idx="3">
                  <c:v>박상범</c:v>
                </c:pt>
                <c:pt idx="4">
                  <c:v>박은수</c:v>
                </c:pt>
                <c:pt idx="5">
                  <c:v>배민석</c:v>
                </c:pt>
                <c:pt idx="6">
                  <c:v>오재석</c:v>
                </c:pt>
                <c:pt idx="7">
                  <c:v>유현재</c:v>
                </c:pt>
                <c:pt idx="8">
                  <c:v>음용선</c:v>
                </c:pt>
                <c:pt idx="9">
                  <c:v>이소은</c:v>
                </c:pt>
              </c:strCache>
            </c:strRef>
          </c:cat>
          <c:val>
            <c:numRef>
              <c:f>차트작업!$E$3:$E$12</c:f>
              <c:numCache>
                <c:formatCode>_(* #,##0_);_(* \(#,##0\);_(* "-"_);_(@_)</c:formatCode>
                <c:ptCount val="10"/>
                <c:pt idx="0">
                  <c:v>100000</c:v>
                </c:pt>
                <c:pt idx="1">
                  <c:v>100000</c:v>
                </c:pt>
                <c:pt idx="2">
                  <c:v>120000</c:v>
                </c:pt>
                <c:pt idx="3">
                  <c:v>120000</c:v>
                </c:pt>
                <c:pt idx="4">
                  <c:v>80000</c:v>
                </c:pt>
                <c:pt idx="5">
                  <c:v>120000</c:v>
                </c:pt>
                <c:pt idx="6">
                  <c:v>65000</c:v>
                </c:pt>
                <c:pt idx="7">
                  <c:v>80000</c:v>
                </c:pt>
                <c:pt idx="8">
                  <c:v>65000</c:v>
                </c:pt>
                <c:pt idx="9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9C-4412-988D-916FFCD76EB1}"/>
            </c:ext>
          </c:extLst>
        </c:ser>
        <c:ser>
          <c:idx val="2"/>
          <c:order val="2"/>
          <c:tx>
            <c:strRef>
              <c:f>차트작업!$F$2</c:f>
              <c:strCache>
                <c:ptCount val="1"/>
                <c:pt idx="0">
                  <c:v>교통비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차트작업!$A$3:$A$12</c:f>
              <c:strCache>
                <c:ptCount val="10"/>
                <c:pt idx="0">
                  <c:v>김경화</c:v>
                </c:pt>
                <c:pt idx="1">
                  <c:v>김우연</c:v>
                </c:pt>
                <c:pt idx="2">
                  <c:v>김학주</c:v>
                </c:pt>
                <c:pt idx="3">
                  <c:v>박상범</c:v>
                </c:pt>
                <c:pt idx="4">
                  <c:v>박은수</c:v>
                </c:pt>
                <c:pt idx="5">
                  <c:v>배민석</c:v>
                </c:pt>
                <c:pt idx="6">
                  <c:v>오재석</c:v>
                </c:pt>
                <c:pt idx="7">
                  <c:v>유현재</c:v>
                </c:pt>
                <c:pt idx="8">
                  <c:v>음용선</c:v>
                </c:pt>
                <c:pt idx="9">
                  <c:v>이소은</c:v>
                </c:pt>
              </c:strCache>
            </c:strRef>
          </c:cat>
          <c:val>
            <c:numRef>
              <c:f>차트작업!$F$3:$F$12</c:f>
              <c:numCache>
                <c:formatCode>_(* #,##0_);_(* \(#,##0\);_(* "-"_);_(@_)</c:formatCode>
                <c:ptCount val="10"/>
                <c:pt idx="0">
                  <c:v>28000</c:v>
                </c:pt>
                <c:pt idx="1">
                  <c:v>55000</c:v>
                </c:pt>
                <c:pt idx="2">
                  <c:v>50000</c:v>
                </c:pt>
                <c:pt idx="3">
                  <c:v>60000</c:v>
                </c:pt>
                <c:pt idx="4">
                  <c:v>50000</c:v>
                </c:pt>
                <c:pt idx="5">
                  <c:v>30000</c:v>
                </c:pt>
                <c:pt idx="6">
                  <c:v>24000</c:v>
                </c:pt>
                <c:pt idx="7">
                  <c:v>26000</c:v>
                </c:pt>
                <c:pt idx="8">
                  <c:v>24000</c:v>
                </c:pt>
                <c:pt idx="9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9C-4412-988D-916FFCD76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4515296"/>
        <c:axId val="1514516960"/>
      </c:barChart>
      <c:catAx>
        <c:axId val="151451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4516960"/>
        <c:crosses val="autoZero"/>
        <c:auto val="1"/>
        <c:lblAlgn val="ctr"/>
        <c:lblOffset val="100"/>
        <c:noMultiLvlLbl val="0"/>
      </c:catAx>
      <c:valAx>
        <c:axId val="15145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451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10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9"/>
  <sheetViews>
    <sheetView tabSelected="1" workbookViewId="0"/>
  </sheetViews>
  <sheetFormatPr defaultRowHeight="17"/>
  <cols>
    <col min="1" max="1" width="17.9140625" bestFit="1" customWidth="1"/>
    <col min="3" max="3" width="14.33203125" bestFit="1" customWidth="1"/>
    <col min="4" max="4" width="9.75" bestFit="1" customWidth="1"/>
    <col min="5" max="6" width="9.5" bestFit="1" customWidth="1"/>
  </cols>
  <sheetData>
    <row r="1" spans="1:7">
      <c r="A1" s="1" t="s">
        <v>101</v>
      </c>
    </row>
    <row r="3" spans="1:7">
      <c r="A3" s="7"/>
      <c r="B3" s="7"/>
      <c r="C3" s="7"/>
      <c r="D3" s="7"/>
      <c r="E3" s="7"/>
      <c r="F3" s="7"/>
      <c r="G3" s="7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  <row r="8" spans="1:7">
      <c r="A8" s="7"/>
      <c r="B8" s="7"/>
      <c r="C8" s="7"/>
      <c r="D8" s="7"/>
      <c r="E8" s="7"/>
      <c r="F8" s="7"/>
      <c r="G8" s="7"/>
    </row>
    <row r="9" spans="1:7">
      <c r="A9" s="7"/>
      <c r="B9" s="7"/>
      <c r="C9" s="7"/>
      <c r="D9" s="7"/>
      <c r="E9" s="7"/>
      <c r="F9" s="7"/>
      <c r="G9" s="7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7"/>
  <sheetViews>
    <sheetView workbookViewId="0"/>
  </sheetViews>
  <sheetFormatPr defaultRowHeight="17"/>
  <sheetData>
    <row r="1" spans="1:7">
      <c r="A1" s="2" t="s">
        <v>0</v>
      </c>
      <c r="B1" s="2"/>
      <c r="C1" s="2"/>
      <c r="D1" s="2"/>
      <c r="E1" s="2"/>
      <c r="F1" s="2"/>
      <c r="G1" s="2"/>
    </row>
    <row r="2" spans="1:7">
      <c r="A2" s="2"/>
      <c r="B2" s="2"/>
      <c r="C2" s="2"/>
      <c r="D2" s="2"/>
      <c r="E2" s="2"/>
      <c r="F2" s="2"/>
      <c r="G2" s="2"/>
    </row>
    <row r="3" spans="1:7">
      <c r="A3" s="3" t="s">
        <v>1</v>
      </c>
      <c r="B3" s="3" t="s">
        <v>2</v>
      </c>
      <c r="C3" s="3" t="s">
        <v>50</v>
      </c>
      <c r="D3" s="3" t="s">
        <v>3</v>
      </c>
      <c r="E3" s="3" t="s">
        <v>5</v>
      </c>
      <c r="F3" s="3" t="s">
        <v>4</v>
      </c>
      <c r="G3" s="2"/>
    </row>
    <row r="4" spans="1:7">
      <c r="A4" s="3" t="s">
        <v>6</v>
      </c>
      <c r="B4" s="3" t="s">
        <v>7</v>
      </c>
      <c r="C4" s="3" t="s">
        <v>8</v>
      </c>
      <c r="D4" s="3" t="s">
        <v>9</v>
      </c>
      <c r="E4" s="3" t="s">
        <v>10</v>
      </c>
      <c r="F4" s="3">
        <v>25</v>
      </c>
      <c r="G4" s="2"/>
    </row>
    <row r="5" spans="1:7">
      <c r="A5" s="3" t="s">
        <v>11</v>
      </c>
      <c r="B5" s="3" t="s">
        <v>12</v>
      </c>
      <c r="C5" s="3"/>
      <c r="D5" s="3" t="s">
        <v>13</v>
      </c>
      <c r="E5" s="3" t="s">
        <v>14</v>
      </c>
      <c r="F5" s="3">
        <v>30</v>
      </c>
      <c r="G5" s="2"/>
    </row>
    <row r="6" spans="1:7">
      <c r="A6" s="3" t="s">
        <v>15</v>
      </c>
      <c r="B6" s="3" t="s">
        <v>16</v>
      </c>
      <c r="C6" s="3"/>
      <c r="D6" s="3" t="s">
        <v>17</v>
      </c>
      <c r="E6" s="3" t="s">
        <v>18</v>
      </c>
      <c r="F6" s="3">
        <v>28</v>
      </c>
      <c r="G6" s="2"/>
    </row>
    <row r="7" spans="1:7">
      <c r="A7" s="3" t="s">
        <v>19</v>
      </c>
      <c r="B7" s="3" t="s">
        <v>20</v>
      </c>
      <c r="C7" s="3"/>
      <c r="D7" s="3" t="s">
        <v>21</v>
      </c>
      <c r="E7" s="3" t="s">
        <v>22</v>
      </c>
      <c r="F7" s="3">
        <v>40</v>
      </c>
      <c r="G7" s="2"/>
    </row>
    <row r="8" spans="1:7">
      <c r="A8" s="3" t="s">
        <v>23</v>
      </c>
      <c r="B8" s="3" t="s">
        <v>24</v>
      </c>
      <c r="C8" s="3" t="s">
        <v>25</v>
      </c>
      <c r="D8" s="3" t="s">
        <v>26</v>
      </c>
      <c r="E8" s="3" t="s">
        <v>27</v>
      </c>
      <c r="F8" s="3">
        <v>20</v>
      </c>
      <c r="G8" s="2"/>
    </row>
    <row r="9" spans="1:7">
      <c r="A9" s="3" t="s">
        <v>28</v>
      </c>
      <c r="B9" s="3" t="s">
        <v>29</v>
      </c>
      <c r="C9" s="3"/>
      <c r="D9" s="3" t="s">
        <v>30</v>
      </c>
      <c r="E9" s="3" t="s">
        <v>31</v>
      </c>
      <c r="F9" s="3">
        <v>25</v>
      </c>
      <c r="G9" s="2"/>
    </row>
    <row r="10" spans="1:7">
      <c r="A10" s="3" t="s">
        <v>15</v>
      </c>
      <c r="B10" s="3" t="s">
        <v>32</v>
      </c>
      <c r="C10" s="3"/>
      <c r="D10" s="3" t="s">
        <v>33</v>
      </c>
      <c r="E10" s="3" t="s">
        <v>34</v>
      </c>
      <c r="F10" s="3">
        <v>23</v>
      </c>
      <c r="G10" s="2"/>
    </row>
    <row r="11" spans="1:7">
      <c r="A11" s="3" t="s">
        <v>35</v>
      </c>
      <c r="B11" s="3" t="s">
        <v>36</v>
      </c>
      <c r="C11" s="3"/>
      <c r="D11" s="3" t="s">
        <v>37</v>
      </c>
      <c r="E11" s="3" t="s">
        <v>38</v>
      </c>
      <c r="F11" s="3">
        <v>35</v>
      </c>
      <c r="G11" s="2"/>
    </row>
    <row r="12" spans="1:7">
      <c r="A12" s="3" t="s">
        <v>39</v>
      </c>
      <c r="B12" s="3" t="s">
        <v>40</v>
      </c>
      <c r="C12" s="3" t="s">
        <v>51</v>
      </c>
      <c r="D12" s="3" t="s">
        <v>41</v>
      </c>
      <c r="E12" s="3" t="s">
        <v>42</v>
      </c>
      <c r="F12" s="3">
        <v>15</v>
      </c>
      <c r="G12" s="2"/>
    </row>
    <row r="13" spans="1:7">
      <c r="A13" s="3" t="s">
        <v>28</v>
      </c>
      <c r="B13" s="3" t="s">
        <v>43</v>
      </c>
      <c r="C13" s="3"/>
      <c r="D13" s="3" t="s">
        <v>44</v>
      </c>
      <c r="E13" s="3" t="s">
        <v>27</v>
      </c>
      <c r="F13" s="3">
        <v>20</v>
      </c>
      <c r="G13" s="2"/>
    </row>
    <row r="14" spans="1:7">
      <c r="A14" s="3" t="s">
        <v>45</v>
      </c>
      <c r="B14" s="3" t="s">
        <v>46</v>
      </c>
      <c r="C14" s="3"/>
      <c r="D14" s="3" t="s">
        <v>47</v>
      </c>
      <c r="E14" s="3" t="s">
        <v>31</v>
      </c>
      <c r="F14" s="3">
        <v>18</v>
      </c>
      <c r="G14" s="2"/>
    </row>
    <row r="15" spans="1:7">
      <c r="A15" s="3" t="s">
        <v>35</v>
      </c>
      <c r="B15" s="3" t="s">
        <v>48</v>
      </c>
      <c r="C15" s="3"/>
      <c r="D15" s="3" t="s">
        <v>49</v>
      </c>
      <c r="E15" s="3" t="s">
        <v>31</v>
      </c>
      <c r="F15" s="3">
        <v>30</v>
      </c>
      <c r="G15" s="2"/>
    </row>
    <row r="16" spans="1:7">
      <c r="A16" s="2"/>
      <c r="B16" s="2"/>
      <c r="C16" s="2"/>
      <c r="D16" s="2"/>
      <c r="E16" s="2"/>
      <c r="F16" s="2"/>
      <c r="G16" s="2"/>
    </row>
    <row r="17" spans="1:7">
      <c r="A17" s="2"/>
      <c r="B17" s="2"/>
      <c r="C17" s="2"/>
      <c r="D17" s="2"/>
      <c r="E17" s="2"/>
      <c r="F17" s="2"/>
      <c r="G17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7"/>
  <sheetViews>
    <sheetView workbookViewId="0">
      <selection sqref="A1:F1"/>
    </sheetView>
  </sheetViews>
  <sheetFormatPr defaultRowHeight="17"/>
  <cols>
    <col min="1" max="2" width="13.58203125" customWidth="1"/>
    <col min="3" max="4" width="10.58203125" customWidth="1"/>
    <col min="5" max="5" width="15.58203125" customWidth="1"/>
    <col min="6" max="6" width="10.58203125" customWidth="1"/>
  </cols>
  <sheetData>
    <row r="1" spans="1:6" ht="21">
      <c r="A1" s="44" t="s">
        <v>52</v>
      </c>
      <c r="B1" s="44"/>
      <c r="C1" s="44"/>
      <c r="D1" s="44"/>
      <c r="E1" s="44"/>
      <c r="F1" s="44"/>
    </row>
    <row r="2" spans="1:6">
      <c r="A2" s="2"/>
      <c r="B2" s="2"/>
      <c r="C2" s="2"/>
      <c r="D2" s="2"/>
      <c r="E2" s="2"/>
      <c r="F2" s="2"/>
    </row>
    <row r="3" spans="1:6">
      <c r="A3" s="4" t="s">
        <v>53</v>
      </c>
      <c r="B3" s="4" t="s">
        <v>54</v>
      </c>
      <c r="C3" s="4" t="s">
        <v>55</v>
      </c>
      <c r="D3" s="4" t="s">
        <v>56</v>
      </c>
      <c r="E3" s="4" t="s">
        <v>57</v>
      </c>
      <c r="F3" s="4" t="s">
        <v>58</v>
      </c>
    </row>
    <row r="4" spans="1:6">
      <c r="A4" s="4" t="s">
        <v>59</v>
      </c>
      <c r="B4" s="5">
        <v>46083</v>
      </c>
      <c r="C4" s="4" t="s">
        <v>60</v>
      </c>
      <c r="D4" s="4" t="s">
        <v>61</v>
      </c>
      <c r="E4" s="6">
        <v>4500</v>
      </c>
      <c r="F4" s="4">
        <v>152</v>
      </c>
    </row>
    <row r="5" spans="1:6">
      <c r="A5" s="4" t="s">
        <v>62</v>
      </c>
      <c r="B5" s="5">
        <v>45669</v>
      </c>
      <c r="C5" s="4" t="s">
        <v>63</v>
      </c>
      <c r="D5" s="4" t="s">
        <v>64</v>
      </c>
      <c r="E5" s="6">
        <v>5600</v>
      </c>
      <c r="F5" s="4">
        <v>189</v>
      </c>
    </row>
    <row r="6" spans="1:6">
      <c r="A6" s="4" t="s">
        <v>65</v>
      </c>
      <c r="B6" s="5">
        <v>45413</v>
      </c>
      <c r="C6" s="4" t="s">
        <v>66</v>
      </c>
      <c r="D6" s="4" t="s">
        <v>67</v>
      </c>
      <c r="E6" s="6">
        <v>10200</v>
      </c>
      <c r="F6" s="4">
        <v>345</v>
      </c>
    </row>
    <row r="7" spans="1:6">
      <c r="A7" s="4" t="s">
        <v>68</v>
      </c>
      <c r="B7" s="5">
        <v>45296</v>
      </c>
      <c r="C7" s="4" t="s">
        <v>69</v>
      </c>
      <c r="D7" s="4" t="s">
        <v>70</v>
      </c>
      <c r="E7" s="6">
        <v>5300</v>
      </c>
      <c r="F7" s="4">
        <v>172</v>
      </c>
    </row>
    <row r="8" spans="1:6">
      <c r="A8" s="4" t="s">
        <v>71</v>
      </c>
      <c r="B8" s="5">
        <v>45759</v>
      </c>
      <c r="C8" s="4" t="s">
        <v>72</v>
      </c>
      <c r="D8" s="4" t="s">
        <v>73</v>
      </c>
      <c r="E8" s="6">
        <v>8800</v>
      </c>
      <c r="F8" s="4">
        <v>286</v>
      </c>
    </row>
    <row r="9" spans="1:6">
      <c r="A9" s="4" t="s">
        <v>74</v>
      </c>
      <c r="B9" s="5">
        <v>45444</v>
      </c>
      <c r="C9" s="4" t="s">
        <v>75</v>
      </c>
      <c r="D9" s="4" t="s">
        <v>76</v>
      </c>
      <c r="E9" s="6">
        <v>5400</v>
      </c>
      <c r="F9" s="4">
        <v>182</v>
      </c>
    </row>
    <row r="10" spans="1:6">
      <c r="A10" s="4" t="s">
        <v>77</v>
      </c>
      <c r="B10" s="5">
        <v>45540</v>
      </c>
      <c r="C10" s="4" t="s">
        <v>78</v>
      </c>
      <c r="D10" s="4" t="s">
        <v>79</v>
      </c>
      <c r="E10" s="6">
        <v>9500</v>
      </c>
      <c r="F10" s="4">
        <v>240</v>
      </c>
    </row>
    <row r="11" spans="1:6">
      <c r="A11" s="4" t="s">
        <v>80</v>
      </c>
      <c r="B11" s="5">
        <v>45789</v>
      </c>
      <c r="C11" s="4" t="s">
        <v>81</v>
      </c>
      <c r="D11" s="4" t="s">
        <v>82</v>
      </c>
      <c r="E11" s="6">
        <v>12000</v>
      </c>
      <c r="F11" s="4">
        <v>382</v>
      </c>
    </row>
    <row r="12" spans="1:6">
      <c r="A12" s="4" t="s">
        <v>83</v>
      </c>
      <c r="B12" s="5">
        <v>46114</v>
      </c>
      <c r="C12" s="4" t="s">
        <v>84</v>
      </c>
      <c r="D12" s="4" t="s">
        <v>85</v>
      </c>
      <c r="E12" s="6">
        <v>5200</v>
      </c>
      <c r="F12" s="4">
        <v>198</v>
      </c>
    </row>
    <row r="13" spans="1:6">
      <c r="A13" s="4" t="s">
        <v>86</v>
      </c>
      <c r="B13" s="5">
        <v>45509</v>
      </c>
      <c r="C13" s="4" t="s">
        <v>87</v>
      </c>
      <c r="D13" s="4" t="s">
        <v>88</v>
      </c>
      <c r="E13" s="6">
        <v>7500</v>
      </c>
      <c r="F13" s="4">
        <v>275</v>
      </c>
    </row>
    <row r="14" spans="1:6">
      <c r="A14" s="4" t="s">
        <v>89</v>
      </c>
      <c r="B14" s="5">
        <v>46144</v>
      </c>
      <c r="C14" s="4" t="s">
        <v>90</v>
      </c>
      <c r="D14" s="4" t="s">
        <v>91</v>
      </c>
      <c r="E14" s="6">
        <v>4600</v>
      </c>
      <c r="F14" s="4">
        <v>165</v>
      </c>
    </row>
    <row r="15" spans="1:6">
      <c r="A15" s="4" t="s">
        <v>92</v>
      </c>
      <c r="B15" s="5">
        <v>45850</v>
      </c>
      <c r="C15" s="4" t="s">
        <v>93</v>
      </c>
      <c r="D15" s="4" t="s">
        <v>94</v>
      </c>
      <c r="E15" s="6">
        <v>6500</v>
      </c>
      <c r="F15" s="4">
        <v>178</v>
      </c>
    </row>
    <row r="16" spans="1:6">
      <c r="A16" s="4" t="s">
        <v>95</v>
      </c>
      <c r="B16" s="5">
        <v>45631</v>
      </c>
      <c r="C16" s="4" t="s">
        <v>96</v>
      </c>
      <c r="D16" s="4" t="s">
        <v>97</v>
      </c>
      <c r="E16" s="6">
        <v>9200</v>
      </c>
      <c r="F16" s="4">
        <v>305</v>
      </c>
    </row>
    <row r="17" spans="1:6">
      <c r="A17" s="4" t="s">
        <v>98</v>
      </c>
      <c r="B17" s="5">
        <v>45566</v>
      </c>
      <c r="C17" s="4" t="s">
        <v>99</v>
      </c>
      <c r="D17" s="4" t="s">
        <v>100</v>
      </c>
      <c r="E17" s="6">
        <v>4300</v>
      </c>
      <c r="F17" s="4">
        <v>148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41"/>
  <sheetViews>
    <sheetView workbookViewId="0">
      <selection activeCell="I35" sqref="I35"/>
    </sheetView>
  </sheetViews>
  <sheetFormatPr defaultRowHeight="17"/>
  <cols>
    <col min="3" max="3" width="11.6640625" bestFit="1" customWidth="1"/>
    <col min="8" max="8" width="10.58203125" bestFit="1" customWidth="1"/>
    <col min="9" max="9" width="8.5" bestFit="1" customWidth="1"/>
  </cols>
  <sheetData>
    <row r="1" spans="1:12">
      <c r="A1" s="2" t="s">
        <v>183</v>
      </c>
      <c r="B1" s="28"/>
      <c r="C1" s="29"/>
      <c r="D1" s="29"/>
      <c r="E1" s="29"/>
      <c r="F1" s="30" t="s">
        <v>184</v>
      </c>
      <c r="G1" s="31"/>
      <c r="H1" s="2"/>
      <c r="I1" s="2"/>
      <c r="J1" s="2"/>
      <c r="K1" s="1"/>
      <c r="L1" s="1"/>
    </row>
    <row r="2" spans="1:12">
      <c r="A2" s="32" t="s">
        <v>185</v>
      </c>
      <c r="B2" s="32" t="s">
        <v>186</v>
      </c>
      <c r="C2" s="32" t="s">
        <v>187</v>
      </c>
      <c r="D2" s="33"/>
      <c r="E2" s="29"/>
      <c r="F2" s="4" t="s">
        <v>188</v>
      </c>
      <c r="G2" s="4" t="s">
        <v>189</v>
      </c>
      <c r="H2" s="4" t="s">
        <v>190</v>
      </c>
      <c r="I2" s="4" t="s">
        <v>191</v>
      </c>
      <c r="J2" s="34" t="s">
        <v>192</v>
      </c>
      <c r="K2" s="1"/>
      <c r="L2" s="1"/>
    </row>
    <row r="3" spans="1:12">
      <c r="A3" s="32" t="s">
        <v>193</v>
      </c>
      <c r="B3" s="32" t="s">
        <v>194</v>
      </c>
      <c r="C3" s="35">
        <v>23545850</v>
      </c>
      <c r="D3" s="33"/>
      <c r="E3" s="29"/>
      <c r="F3" s="4" t="s">
        <v>195</v>
      </c>
      <c r="G3" s="4">
        <v>78</v>
      </c>
      <c r="H3" s="4">
        <v>95</v>
      </c>
      <c r="I3" s="4">
        <f t="shared" ref="I3:I12" si="0">AVERAGE(G3:H3)</f>
        <v>86.5</v>
      </c>
      <c r="J3" s="36"/>
      <c r="K3" s="1"/>
      <c r="L3" s="1"/>
    </row>
    <row r="4" spans="1:12">
      <c r="A4" s="32" t="s">
        <v>196</v>
      </c>
      <c r="B4" s="32" t="s">
        <v>197</v>
      </c>
      <c r="C4" s="35">
        <v>34545721</v>
      </c>
      <c r="D4" s="33"/>
      <c r="E4" s="29"/>
      <c r="F4" s="4" t="s">
        <v>198</v>
      </c>
      <c r="G4" s="4">
        <v>89</v>
      </c>
      <c r="H4" s="4">
        <v>79</v>
      </c>
      <c r="I4" s="4">
        <f t="shared" si="0"/>
        <v>84</v>
      </c>
      <c r="J4" s="36"/>
      <c r="K4" s="1"/>
      <c r="L4" s="1"/>
    </row>
    <row r="5" spans="1:12">
      <c r="A5" s="32" t="s">
        <v>199</v>
      </c>
      <c r="B5" s="32" t="s">
        <v>200</v>
      </c>
      <c r="C5" s="35">
        <v>45689420</v>
      </c>
      <c r="D5" s="33"/>
      <c r="E5" s="29"/>
      <c r="F5" s="4" t="s">
        <v>201</v>
      </c>
      <c r="G5" s="4">
        <v>92</v>
      </c>
      <c r="H5" s="4">
        <v>93</v>
      </c>
      <c r="I5" s="4">
        <f t="shared" si="0"/>
        <v>92.5</v>
      </c>
      <c r="J5" s="36"/>
      <c r="K5" s="1"/>
      <c r="L5" s="1"/>
    </row>
    <row r="6" spans="1:12">
      <c r="A6" s="32" t="s">
        <v>202</v>
      </c>
      <c r="B6" s="32" t="s">
        <v>194</v>
      </c>
      <c r="C6" s="35">
        <v>12587120</v>
      </c>
      <c r="D6" s="33"/>
      <c r="E6" s="29"/>
      <c r="F6" s="4" t="s">
        <v>203</v>
      </c>
      <c r="G6" s="4">
        <v>88</v>
      </c>
      <c r="H6" s="4">
        <v>91</v>
      </c>
      <c r="I6" s="4">
        <f t="shared" si="0"/>
        <v>89.5</v>
      </c>
      <c r="J6" s="36"/>
      <c r="K6" s="1"/>
      <c r="L6" s="1"/>
    </row>
    <row r="7" spans="1:12">
      <c r="A7" s="32" t="s">
        <v>204</v>
      </c>
      <c r="B7" s="32" t="s">
        <v>200</v>
      </c>
      <c r="C7" s="35">
        <v>32123480</v>
      </c>
      <c r="D7" s="33"/>
      <c r="E7" s="29"/>
      <c r="F7" s="4" t="s">
        <v>205</v>
      </c>
      <c r="G7" s="4">
        <v>65</v>
      </c>
      <c r="H7" s="4">
        <v>78</v>
      </c>
      <c r="I7" s="4">
        <f t="shared" si="0"/>
        <v>71.5</v>
      </c>
      <c r="J7" s="36"/>
      <c r="K7" s="1"/>
      <c r="L7" s="1"/>
    </row>
    <row r="8" spans="1:12">
      <c r="A8" s="32" t="s">
        <v>206</v>
      </c>
      <c r="B8" s="32" t="s">
        <v>207</v>
      </c>
      <c r="C8" s="35">
        <v>42189420</v>
      </c>
      <c r="D8" s="33"/>
      <c r="E8" s="29"/>
      <c r="F8" s="4" t="s">
        <v>208</v>
      </c>
      <c r="G8" s="4">
        <v>95</v>
      </c>
      <c r="H8" s="4">
        <v>82</v>
      </c>
      <c r="I8" s="4">
        <f t="shared" si="0"/>
        <v>88.5</v>
      </c>
      <c r="J8" s="36"/>
      <c r="K8" s="1"/>
      <c r="L8" s="1"/>
    </row>
    <row r="9" spans="1:12">
      <c r="A9" s="32" t="s">
        <v>209</v>
      </c>
      <c r="B9" s="32" t="s">
        <v>210</v>
      </c>
      <c r="C9" s="35">
        <v>32978140</v>
      </c>
      <c r="D9" s="1"/>
      <c r="E9" s="29"/>
      <c r="F9" s="4" t="s">
        <v>211</v>
      </c>
      <c r="G9" s="4">
        <v>95</v>
      </c>
      <c r="H9" s="4">
        <v>89</v>
      </c>
      <c r="I9" s="4">
        <f t="shared" si="0"/>
        <v>92</v>
      </c>
      <c r="J9" s="36"/>
      <c r="K9" s="1"/>
      <c r="L9" s="1"/>
    </row>
    <row r="10" spans="1:12">
      <c r="A10" s="32" t="s">
        <v>212</v>
      </c>
      <c r="B10" s="32" t="s">
        <v>213</v>
      </c>
      <c r="C10" s="35">
        <v>21487450</v>
      </c>
      <c r="D10" s="37" t="s">
        <v>214</v>
      </c>
      <c r="E10" s="1"/>
      <c r="F10" s="4" t="s">
        <v>215</v>
      </c>
      <c r="G10" s="4">
        <v>82</v>
      </c>
      <c r="H10" s="4">
        <v>75</v>
      </c>
      <c r="I10" s="4">
        <f t="shared" si="0"/>
        <v>78.5</v>
      </c>
      <c r="J10" s="36"/>
      <c r="K10" s="1"/>
      <c r="L10" s="1"/>
    </row>
    <row r="11" spans="1:12">
      <c r="A11" s="32" t="s">
        <v>216</v>
      </c>
      <c r="B11" s="32" t="s">
        <v>197</v>
      </c>
      <c r="C11" s="35">
        <v>18587651</v>
      </c>
      <c r="D11" s="32"/>
      <c r="E11" s="1"/>
      <c r="F11" s="4" t="s">
        <v>217</v>
      </c>
      <c r="G11" s="4">
        <v>76</v>
      </c>
      <c r="H11" s="4">
        <v>65</v>
      </c>
      <c r="I11" s="4">
        <f t="shared" si="0"/>
        <v>70.5</v>
      </c>
      <c r="J11" s="36"/>
      <c r="K11" s="1"/>
      <c r="L11" s="1"/>
    </row>
    <row r="12" spans="1:12">
      <c r="A12" s="45" t="s">
        <v>218</v>
      </c>
      <c r="B12" s="46"/>
      <c r="C12" s="35"/>
      <c r="D12" s="32"/>
      <c r="E12" s="1"/>
      <c r="F12" s="4" t="s">
        <v>219</v>
      </c>
      <c r="G12" s="4">
        <v>96</v>
      </c>
      <c r="H12" s="4">
        <v>90</v>
      </c>
      <c r="I12" s="4">
        <f t="shared" si="0"/>
        <v>93</v>
      </c>
      <c r="J12" s="36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2" t="s">
        <v>220</v>
      </c>
      <c r="B14" s="38"/>
      <c r="C14" s="2"/>
      <c r="D14" s="2"/>
      <c r="E14" s="2"/>
      <c r="F14" s="2" t="s">
        <v>221</v>
      </c>
      <c r="G14" s="38"/>
      <c r="H14" s="2"/>
      <c r="I14" s="2"/>
      <c r="J14" s="1"/>
      <c r="K14" s="1"/>
      <c r="L14" s="1"/>
    </row>
    <row r="15" spans="1:12">
      <c r="A15" s="4" t="s">
        <v>222</v>
      </c>
      <c r="B15" s="4" t="s">
        <v>223</v>
      </c>
      <c r="C15" s="4" t="s">
        <v>224</v>
      </c>
      <c r="D15" s="4" t="s">
        <v>225</v>
      </c>
      <c r="E15" s="2"/>
      <c r="F15" s="4" t="s">
        <v>226</v>
      </c>
      <c r="G15" s="4" t="s">
        <v>227</v>
      </c>
      <c r="H15" s="4" t="s">
        <v>228</v>
      </c>
      <c r="I15" s="34" t="s">
        <v>229</v>
      </c>
      <c r="J15" s="1"/>
      <c r="K15" s="1"/>
      <c r="L15" s="1"/>
    </row>
    <row r="16" spans="1:12">
      <c r="A16" s="4" t="s">
        <v>230</v>
      </c>
      <c r="B16" s="4" t="s">
        <v>231</v>
      </c>
      <c r="C16" s="4">
        <v>163</v>
      </c>
      <c r="D16" s="4" t="s">
        <v>232</v>
      </c>
      <c r="E16" s="2"/>
      <c r="F16" s="4" t="s">
        <v>233</v>
      </c>
      <c r="G16" s="39">
        <v>88</v>
      </c>
      <c r="H16" s="40">
        <v>1056000</v>
      </c>
      <c r="I16" s="4"/>
      <c r="J16" s="1"/>
      <c r="K16" s="1"/>
      <c r="L16" s="1"/>
    </row>
    <row r="17" spans="1:12">
      <c r="A17" s="4" t="s">
        <v>234</v>
      </c>
      <c r="B17" s="4" t="s">
        <v>235</v>
      </c>
      <c r="C17" s="4">
        <v>158</v>
      </c>
      <c r="D17" s="4" t="s">
        <v>236</v>
      </c>
      <c r="E17" s="2"/>
      <c r="F17" s="4" t="s">
        <v>237</v>
      </c>
      <c r="G17" s="39">
        <v>75</v>
      </c>
      <c r="H17" s="40">
        <v>900000</v>
      </c>
      <c r="I17" s="4"/>
      <c r="J17" s="1"/>
      <c r="K17" s="1"/>
      <c r="L17" s="1"/>
    </row>
    <row r="18" spans="1:12">
      <c r="A18" s="4" t="s">
        <v>238</v>
      </c>
      <c r="B18" s="4" t="s">
        <v>239</v>
      </c>
      <c r="C18" s="4">
        <v>132</v>
      </c>
      <c r="D18" s="4" t="s">
        <v>240</v>
      </c>
      <c r="E18" s="2"/>
      <c r="F18" s="4" t="s">
        <v>241</v>
      </c>
      <c r="G18" s="39">
        <v>201</v>
      </c>
      <c r="H18" s="40">
        <v>2412000</v>
      </c>
      <c r="I18" s="4"/>
      <c r="J18" s="1"/>
      <c r="K18" s="1"/>
      <c r="L18" s="1"/>
    </row>
    <row r="19" spans="1:12">
      <c r="A19" s="4" t="s">
        <v>242</v>
      </c>
      <c r="B19" s="4" t="s">
        <v>243</v>
      </c>
      <c r="C19" s="4">
        <v>168</v>
      </c>
      <c r="D19" s="4" t="s">
        <v>244</v>
      </c>
      <c r="E19" s="2"/>
      <c r="F19" s="4" t="s">
        <v>245</v>
      </c>
      <c r="G19" s="39">
        <v>211</v>
      </c>
      <c r="H19" s="40">
        <v>1980000</v>
      </c>
      <c r="I19" s="4"/>
      <c r="J19" s="1"/>
      <c r="K19" s="1"/>
      <c r="L19" s="1"/>
    </row>
    <row r="20" spans="1:12">
      <c r="A20" s="4" t="s">
        <v>246</v>
      </c>
      <c r="B20" s="4" t="s">
        <v>247</v>
      </c>
      <c r="C20" s="4">
        <v>102</v>
      </c>
      <c r="D20" s="4" t="s">
        <v>248</v>
      </c>
      <c r="E20" s="2"/>
      <c r="F20" s="4" t="s">
        <v>249</v>
      </c>
      <c r="G20" s="39">
        <v>205</v>
      </c>
      <c r="H20" s="40">
        <v>1140000</v>
      </c>
      <c r="I20" s="4"/>
      <c r="J20" s="1"/>
      <c r="K20" s="1"/>
      <c r="L20" s="1"/>
    </row>
    <row r="21" spans="1:12">
      <c r="A21" s="4" t="s">
        <v>250</v>
      </c>
      <c r="B21" s="4" t="s">
        <v>251</v>
      </c>
      <c r="C21" s="4">
        <v>192</v>
      </c>
      <c r="D21" s="4" t="s">
        <v>252</v>
      </c>
      <c r="E21" s="2"/>
      <c r="F21" s="4" t="s">
        <v>253</v>
      </c>
      <c r="G21" s="39">
        <v>68</v>
      </c>
      <c r="H21" s="40">
        <v>816000</v>
      </c>
      <c r="I21" s="4"/>
      <c r="J21" s="1"/>
      <c r="K21" s="1"/>
      <c r="L21" s="1"/>
    </row>
    <row r="22" spans="1:12">
      <c r="A22" s="4" t="s">
        <v>242</v>
      </c>
      <c r="B22" s="4" t="s">
        <v>254</v>
      </c>
      <c r="C22" s="4">
        <v>185</v>
      </c>
      <c r="D22" s="4" t="s">
        <v>255</v>
      </c>
      <c r="E22" s="2"/>
      <c r="F22" s="4" t="s">
        <v>256</v>
      </c>
      <c r="G22" s="39">
        <v>132</v>
      </c>
      <c r="H22" s="40">
        <v>1584000</v>
      </c>
      <c r="I22" s="4"/>
      <c r="J22" s="1"/>
      <c r="K22" s="1"/>
      <c r="L22" s="1"/>
    </row>
    <row r="23" spans="1:12">
      <c r="A23" s="4" t="s">
        <v>257</v>
      </c>
      <c r="B23" s="4" t="s">
        <v>258</v>
      </c>
      <c r="C23" s="4">
        <v>113</v>
      </c>
      <c r="D23" s="4" t="s">
        <v>259</v>
      </c>
      <c r="E23" s="2"/>
      <c r="F23" s="4" t="s">
        <v>260</v>
      </c>
      <c r="G23" s="39">
        <v>211</v>
      </c>
      <c r="H23" s="40">
        <v>2532000</v>
      </c>
      <c r="I23" s="4"/>
      <c r="J23" s="1"/>
      <c r="K23" s="1"/>
      <c r="L23" s="1"/>
    </row>
    <row r="24" spans="1:12">
      <c r="A24" s="4" t="s">
        <v>261</v>
      </c>
      <c r="B24" s="4" t="s">
        <v>262</v>
      </c>
      <c r="C24" s="4">
        <v>198</v>
      </c>
      <c r="D24" s="4" t="s">
        <v>263</v>
      </c>
      <c r="E24" s="2"/>
      <c r="F24" s="4" t="s">
        <v>264</v>
      </c>
      <c r="G24" s="39">
        <v>128</v>
      </c>
      <c r="H24" s="40">
        <v>1536000</v>
      </c>
      <c r="I24" s="4"/>
      <c r="J24" s="1"/>
      <c r="K24" s="1"/>
      <c r="L24" s="1"/>
    </row>
    <row r="25" spans="1:12">
      <c r="A25" s="45" t="s">
        <v>265</v>
      </c>
      <c r="B25" s="47"/>
      <c r="C25" s="46"/>
      <c r="D25" s="41"/>
      <c r="E25" s="2"/>
      <c r="F25" s="4" t="s">
        <v>266</v>
      </c>
      <c r="G25" s="39">
        <v>92</v>
      </c>
      <c r="H25" s="40">
        <v>1104000</v>
      </c>
      <c r="I25" s="4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30" t="s">
        <v>267</v>
      </c>
      <c r="B27" s="31"/>
      <c r="C27" s="2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42" t="s">
        <v>268</v>
      </c>
      <c r="B28" s="42" t="s">
        <v>269</v>
      </c>
      <c r="C28" s="42" t="s">
        <v>270</v>
      </c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4" t="s">
        <v>271</v>
      </c>
      <c r="B29" s="43" t="s">
        <v>272</v>
      </c>
      <c r="C29" s="4">
        <v>91.2</v>
      </c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4" t="s">
        <v>273</v>
      </c>
      <c r="B30" s="43" t="s">
        <v>274</v>
      </c>
      <c r="C30" s="4">
        <v>92.4</v>
      </c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4" t="s">
        <v>275</v>
      </c>
      <c r="B31" s="43" t="s">
        <v>276</v>
      </c>
      <c r="C31" s="4">
        <v>89.3</v>
      </c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4" t="s">
        <v>277</v>
      </c>
      <c r="B32" s="13" t="s">
        <v>278</v>
      </c>
      <c r="C32" s="4">
        <v>93.1</v>
      </c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4" t="s">
        <v>279</v>
      </c>
      <c r="B33" s="43" t="s">
        <v>280</v>
      </c>
      <c r="C33" s="4">
        <v>89.4</v>
      </c>
      <c r="D33" s="1"/>
      <c r="E33" s="1"/>
      <c r="F33" s="1"/>
      <c r="G33" s="1"/>
      <c r="H33" s="1"/>
      <c r="I33" s="1"/>
      <c r="J33" s="1"/>
      <c r="K33" s="1"/>
      <c r="L33" s="1"/>
    </row>
    <row r="34" spans="1:12">
      <c r="A34" s="4" t="s">
        <v>281</v>
      </c>
      <c r="B34" s="13" t="s">
        <v>282</v>
      </c>
      <c r="C34" s="4">
        <v>88.7</v>
      </c>
      <c r="D34" s="1"/>
      <c r="E34" s="1"/>
      <c r="F34" s="1"/>
      <c r="G34" s="1"/>
      <c r="H34" s="1"/>
      <c r="I34" s="1"/>
      <c r="J34" s="1"/>
      <c r="K34" s="1"/>
      <c r="L34" s="1"/>
    </row>
    <row r="35" spans="1:12">
      <c r="A35" s="4" t="s">
        <v>283</v>
      </c>
      <c r="B35" s="4" t="s">
        <v>276</v>
      </c>
      <c r="C35" s="4">
        <v>94.1</v>
      </c>
      <c r="D35" s="1"/>
      <c r="E35" s="1"/>
      <c r="F35" s="1"/>
      <c r="G35" s="1"/>
      <c r="H35" s="1"/>
      <c r="I35" s="1"/>
      <c r="J35" s="1"/>
      <c r="K35" s="1"/>
      <c r="L35" s="1"/>
    </row>
    <row r="36" spans="1:12">
      <c r="A36" s="4" t="s">
        <v>284</v>
      </c>
      <c r="B36" s="4" t="s">
        <v>274</v>
      </c>
      <c r="C36" s="4">
        <v>79.5</v>
      </c>
      <c r="D36" s="1"/>
      <c r="E36" s="1"/>
      <c r="F36" s="1"/>
      <c r="G36" s="1"/>
      <c r="H36" s="1"/>
      <c r="I36" s="1"/>
      <c r="J36" s="1"/>
      <c r="K36" s="1"/>
      <c r="L36" s="1"/>
    </row>
    <row r="37" spans="1:12">
      <c r="A37" s="45" t="s">
        <v>285</v>
      </c>
      <c r="B37" s="46"/>
      <c r="C37" s="4"/>
      <c r="D37" s="1"/>
      <c r="E37" s="1"/>
      <c r="F37" s="1"/>
      <c r="G37" s="1"/>
      <c r="H37" s="1"/>
      <c r="I37" s="1"/>
      <c r="J37" s="1"/>
      <c r="K37" s="1"/>
      <c r="L37" s="1"/>
    </row>
    <row r="38" spans="1:1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</sheetData>
  <mergeCells count="3">
    <mergeCell ref="A12:B12"/>
    <mergeCell ref="A25:C25"/>
    <mergeCell ref="A37:B37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2"/>
  <sheetViews>
    <sheetView workbookViewId="0">
      <selection activeCell="G43" sqref="G43"/>
    </sheetView>
  </sheetViews>
  <sheetFormatPr defaultRowHeight="17"/>
  <cols>
    <col min="1" max="1" width="12.33203125" style="8" bestFit="1" customWidth="1"/>
    <col min="2" max="3" width="8.6640625" style="8"/>
    <col min="4" max="4" width="11.6640625" style="8" bestFit="1" customWidth="1"/>
    <col min="5" max="16384" width="8.6640625" style="8"/>
  </cols>
  <sheetData>
    <row r="1" spans="1:4" ht="21">
      <c r="A1" s="48" t="s">
        <v>102</v>
      </c>
      <c r="B1" s="48"/>
      <c r="C1" s="48"/>
      <c r="D1" s="48"/>
    </row>
    <row r="2" spans="1:4">
      <c r="A2" s="9"/>
      <c r="B2" s="10"/>
      <c r="C2" s="11"/>
      <c r="D2" s="11"/>
    </row>
    <row r="3" spans="1:4">
      <c r="A3" s="12" t="s">
        <v>103</v>
      </c>
      <c r="B3" s="12" t="s">
        <v>104</v>
      </c>
      <c r="C3" s="12" t="s">
        <v>105</v>
      </c>
      <c r="D3" s="12" t="s">
        <v>106</v>
      </c>
    </row>
    <row r="4" spans="1:4">
      <c r="A4" s="12" t="s">
        <v>107</v>
      </c>
      <c r="B4" s="13">
        <v>350</v>
      </c>
      <c r="C4" s="14">
        <v>20000</v>
      </c>
      <c r="D4" s="14">
        <f t="shared" ref="D4:D12" si="0">B4*C4</f>
        <v>7000000</v>
      </c>
    </row>
    <row r="5" spans="1:4">
      <c r="A5" s="12" t="s">
        <v>108</v>
      </c>
      <c r="B5" s="13">
        <v>600</v>
      </c>
      <c r="C5" s="14">
        <v>20000</v>
      </c>
      <c r="D5" s="14">
        <f t="shared" si="0"/>
        <v>12000000</v>
      </c>
    </row>
    <row r="6" spans="1:4">
      <c r="A6" s="12" t="s">
        <v>109</v>
      </c>
      <c r="B6" s="13">
        <v>250</v>
      </c>
      <c r="C6" s="14">
        <v>20000</v>
      </c>
      <c r="D6" s="14">
        <f t="shared" si="0"/>
        <v>5000000</v>
      </c>
    </row>
    <row r="7" spans="1:4">
      <c r="A7" s="12" t="s">
        <v>110</v>
      </c>
      <c r="B7" s="13">
        <v>280</v>
      </c>
      <c r="C7" s="14">
        <v>20000</v>
      </c>
      <c r="D7" s="14">
        <f t="shared" si="0"/>
        <v>5600000</v>
      </c>
    </row>
    <row r="8" spans="1:4">
      <c r="A8" s="12" t="s">
        <v>111</v>
      </c>
      <c r="B8" s="13">
        <v>250</v>
      </c>
      <c r="C8" s="14">
        <v>20000</v>
      </c>
      <c r="D8" s="14">
        <f t="shared" si="0"/>
        <v>5000000</v>
      </c>
    </row>
    <row r="9" spans="1:4">
      <c r="A9" s="12" t="s">
        <v>112</v>
      </c>
      <c r="B9" s="13">
        <v>400</v>
      </c>
      <c r="C9" s="14">
        <v>20000</v>
      </c>
      <c r="D9" s="14">
        <f t="shared" si="0"/>
        <v>8000000</v>
      </c>
    </row>
    <row r="10" spans="1:4">
      <c r="A10" s="12" t="s">
        <v>113</v>
      </c>
      <c r="B10" s="13">
        <v>550</v>
      </c>
      <c r="C10" s="14">
        <v>20000</v>
      </c>
      <c r="D10" s="14">
        <f t="shared" si="0"/>
        <v>11000000</v>
      </c>
    </row>
    <row r="11" spans="1:4">
      <c r="A11" s="12" t="s">
        <v>114</v>
      </c>
      <c r="B11" s="13">
        <v>220</v>
      </c>
      <c r="C11" s="14">
        <v>20000</v>
      </c>
      <c r="D11" s="14">
        <f t="shared" si="0"/>
        <v>4400000</v>
      </c>
    </row>
    <row r="12" spans="1:4">
      <c r="A12" s="12" t="s">
        <v>115</v>
      </c>
      <c r="B12" s="13">
        <v>450</v>
      </c>
      <c r="C12" s="14">
        <v>20000</v>
      </c>
      <c r="D12" s="14">
        <f t="shared" si="0"/>
        <v>9000000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4"/>
  <sheetViews>
    <sheetView workbookViewId="0">
      <selection activeCell="G43" sqref="G43"/>
    </sheetView>
  </sheetViews>
  <sheetFormatPr defaultRowHeight="17"/>
  <cols>
    <col min="1" max="4" width="8.6640625" style="8"/>
    <col min="5" max="5" width="11.6640625" style="8" bestFit="1" customWidth="1"/>
    <col min="6" max="6" width="12.6640625" style="8" bestFit="1" customWidth="1"/>
    <col min="7" max="16384" width="8.6640625" style="8"/>
  </cols>
  <sheetData>
    <row r="1" spans="1:6" ht="21">
      <c r="A1" s="48" t="s">
        <v>116</v>
      </c>
      <c r="B1" s="48"/>
      <c r="C1" s="48"/>
      <c r="D1" s="48"/>
      <c r="E1" s="48"/>
      <c r="F1" s="48"/>
    </row>
    <row r="2" spans="1:6">
      <c r="A2" s="11"/>
      <c r="B2" s="11"/>
      <c r="C2" s="11"/>
      <c r="D2" s="11"/>
      <c r="E2" s="11"/>
      <c r="F2" s="11"/>
    </row>
    <row r="3" spans="1:6">
      <c r="A3" s="12" t="s">
        <v>117</v>
      </c>
      <c r="B3" s="12" t="s">
        <v>118</v>
      </c>
      <c r="C3" s="12" t="s">
        <v>119</v>
      </c>
      <c r="D3" s="12" t="s">
        <v>120</v>
      </c>
      <c r="E3" s="12" t="s">
        <v>121</v>
      </c>
      <c r="F3" s="12" t="s">
        <v>122</v>
      </c>
    </row>
    <row r="4" spans="1:6">
      <c r="A4" s="12" t="s">
        <v>123</v>
      </c>
      <c r="B4" s="12" t="s">
        <v>124</v>
      </c>
      <c r="C4" s="15">
        <v>34000</v>
      </c>
      <c r="D4" s="15">
        <v>960</v>
      </c>
      <c r="E4" s="15">
        <f>C4*D4</f>
        <v>32640000</v>
      </c>
      <c r="F4" s="16">
        <f>E4*$B$14</f>
        <v>6528000</v>
      </c>
    </row>
    <row r="5" spans="1:6">
      <c r="A5" s="12" t="s">
        <v>125</v>
      </c>
      <c r="B5" s="12" t="s">
        <v>126</v>
      </c>
      <c r="C5" s="15">
        <v>20000</v>
      </c>
      <c r="D5" s="15">
        <v>1380</v>
      </c>
      <c r="E5" s="15">
        <f t="shared" ref="E5:E10" si="0">C5*D5</f>
        <v>27600000</v>
      </c>
      <c r="F5" s="16">
        <f t="shared" ref="F5:F10" si="1">E5*$B$14</f>
        <v>5520000</v>
      </c>
    </row>
    <row r="6" spans="1:6">
      <c r="A6" s="12" t="s">
        <v>127</v>
      </c>
      <c r="B6" s="12" t="s">
        <v>128</v>
      </c>
      <c r="C6" s="15">
        <v>40000</v>
      </c>
      <c r="D6" s="15">
        <v>1130</v>
      </c>
      <c r="E6" s="15">
        <f t="shared" si="0"/>
        <v>45200000</v>
      </c>
      <c r="F6" s="16">
        <f t="shared" si="1"/>
        <v>9040000</v>
      </c>
    </row>
    <row r="7" spans="1:6">
      <c r="A7" s="12" t="s">
        <v>129</v>
      </c>
      <c r="B7" s="12" t="s">
        <v>130</v>
      </c>
      <c r="C7" s="15">
        <v>29500</v>
      </c>
      <c r="D7" s="15">
        <v>854</v>
      </c>
      <c r="E7" s="15">
        <f t="shared" si="0"/>
        <v>25193000</v>
      </c>
      <c r="F7" s="16">
        <f t="shared" si="1"/>
        <v>5038600</v>
      </c>
    </row>
    <row r="8" spans="1:6">
      <c r="A8" s="12" t="s">
        <v>131</v>
      </c>
      <c r="B8" s="12" t="s">
        <v>132</v>
      </c>
      <c r="C8" s="15">
        <v>35000</v>
      </c>
      <c r="D8" s="15">
        <v>950</v>
      </c>
      <c r="E8" s="15">
        <f t="shared" si="0"/>
        <v>33250000</v>
      </c>
      <c r="F8" s="16">
        <f t="shared" si="1"/>
        <v>6650000</v>
      </c>
    </row>
    <row r="9" spans="1:6">
      <c r="A9" s="12" t="s">
        <v>133</v>
      </c>
      <c r="B9" s="12" t="s">
        <v>134</v>
      </c>
      <c r="C9" s="15">
        <v>36000</v>
      </c>
      <c r="D9" s="15">
        <v>1190</v>
      </c>
      <c r="E9" s="15">
        <f t="shared" si="0"/>
        <v>42840000</v>
      </c>
      <c r="F9" s="16">
        <f t="shared" si="1"/>
        <v>8568000</v>
      </c>
    </row>
    <row r="10" spans="1:6">
      <c r="A10" s="12" t="s">
        <v>135</v>
      </c>
      <c r="B10" s="12" t="s">
        <v>136</v>
      </c>
      <c r="C10" s="15">
        <v>18000</v>
      </c>
      <c r="D10" s="15">
        <v>1460</v>
      </c>
      <c r="E10" s="15">
        <f t="shared" si="0"/>
        <v>26280000</v>
      </c>
      <c r="F10" s="16">
        <f t="shared" si="1"/>
        <v>5256000</v>
      </c>
    </row>
    <row r="11" spans="1:6">
      <c r="A11" s="49" t="s">
        <v>137</v>
      </c>
      <c r="B11" s="49"/>
      <c r="C11" s="49"/>
      <c r="D11" s="49"/>
      <c r="E11" s="49"/>
      <c r="F11" s="16">
        <f>SUM(F4:F10)</f>
        <v>46600600</v>
      </c>
    </row>
    <row r="12" spans="1:6">
      <c r="A12" s="17"/>
      <c r="B12" s="17"/>
      <c r="C12" s="17"/>
      <c r="D12" s="17"/>
      <c r="E12" s="17"/>
      <c r="F12" s="18"/>
    </row>
    <row r="13" spans="1:6">
      <c r="A13" s="11"/>
      <c r="B13" s="11"/>
      <c r="C13" s="11"/>
      <c r="D13" s="11"/>
      <c r="E13" s="11"/>
      <c r="F13" s="11"/>
    </row>
    <row r="14" spans="1:6">
      <c r="A14" s="12" t="s">
        <v>138</v>
      </c>
      <c r="B14" s="19">
        <v>0.2</v>
      </c>
      <c r="D14" s="11"/>
      <c r="E14" s="11"/>
      <c r="F14" s="11"/>
    </row>
  </sheetData>
  <mergeCells count="2">
    <mergeCell ref="A1:F1"/>
    <mergeCell ref="A11:E1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G10"/>
  <sheetViews>
    <sheetView workbookViewId="0">
      <selection activeCell="G43" sqref="G43"/>
    </sheetView>
  </sheetViews>
  <sheetFormatPr defaultRowHeight="17"/>
  <cols>
    <col min="1" max="1" width="8.6640625" style="8"/>
    <col min="2" max="2" width="12.33203125" style="8" bestFit="1" customWidth="1"/>
    <col min="3" max="16384" width="8.6640625" style="8"/>
  </cols>
  <sheetData>
    <row r="2" spans="1:7">
      <c r="A2" s="12" t="s">
        <v>139</v>
      </c>
      <c r="B2" s="12" t="s">
        <v>140</v>
      </c>
      <c r="C2" s="12" t="s">
        <v>141</v>
      </c>
      <c r="D2" s="12" t="s">
        <v>142</v>
      </c>
      <c r="E2" s="12" t="s">
        <v>143</v>
      </c>
      <c r="F2" s="12" t="s">
        <v>144</v>
      </c>
      <c r="G2" s="20" t="s">
        <v>145</v>
      </c>
    </row>
    <row r="3" spans="1:7">
      <c r="A3" s="12" t="s">
        <v>146</v>
      </c>
      <c r="B3" s="21" t="s">
        <v>147</v>
      </c>
      <c r="C3" s="21">
        <v>13</v>
      </c>
      <c r="D3" s="21">
        <v>11</v>
      </c>
      <c r="E3" s="21">
        <v>23</v>
      </c>
      <c r="F3" s="21">
        <v>30</v>
      </c>
      <c r="G3" s="22"/>
    </row>
    <row r="4" spans="1:7">
      <c r="A4" s="12" t="s">
        <v>148</v>
      </c>
      <c r="B4" s="21" t="s">
        <v>149</v>
      </c>
      <c r="C4" s="21">
        <v>19</v>
      </c>
      <c r="D4" s="21">
        <v>10</v>
      </c>
      <c r="E4" s="21">
        <v>16</v>
      </c>
      <c r="F4" s="21">
        <v>26</v>
      </c>
      <c r="G4" s="22"/>
    </row>
    <row r="5" spans="1:7">
      <c r="A5" s="12" t="s">
        <v>150</v>
      </c>
      <c r="B5" s="21" t="s">
        <v>147</v>
      </c>
      <c r="C5" s="21">
        <v>14</v>
      </c>
      <c r="D5" s="21">
        <v>11</v>
      </c>
      <c r="E5" s="21">
        <v>15</v>
      </c>
      <c r="F5" s="21">
        <v>25</v>
      </c>
      <c r="G5" s="22"/>
    </row>
    <row r="6" spans="1:7">
      <c r="A6" s="12" t="s">
        <v>151</v>
      </c>
      <c r="B6" s="21" t="s">
        <v>147</v>
      </c>
      <c r="C6" s="21">
        <v>20</v>
      </c>
      <c r="D6" s="21">
        <v>15</v>
      </c>
      <c r="E6" s="21">
        <v>21</v>
      </c>
      <c r="F6" s="21">
        <v>15</v>
      </c>
      <c r="G6" s="22"/>
    </row>
    <row r="7" spans="1:7">
      <c r="A7" s="12" t="s">
        <v>152</v>
      </c>
      <c r="B7" s="21" t="s">
        <v>153</v>
      </c>
      <c r="C7" s="21">
        <v>10</v>
      </c>
      <c r="D7" s="21">
        <v>15</v>
      </c>
      <c r="E7" s="21">
        <v>22</v>
      </c>
      <c r="F7" s="21">
        <v>27</v>
      </c>
      <c r="G7" s="22"/>
    </row>
    <row r="8" spans="1:7">
      <c r="A8" s="12" t="s">
        <v>154</v>
      </c>
      <c r="B8" s="21" t="s">
        <v>153</v>
      </c>
      <c r="C8" s="21">
        <v>14</v>
      </c>
      <c r="D8" s="21">
        <v>12</v>
      </c>
      <c r="E8" s="21">
        <v>27</v>
      </c>
      <c r="F8" s="21">
        <v>28</v>
      </c>
      <c r="G8" s="22"/>
    </row>
    <row r="9" spans="1:7">
      <c r="A9" s="12" t="s">
        <v>155</v>
      </c>
      <c r="B9" s="21" t="s">
        <v>147</v>
      </c>
      <c r="C9" s="21">
        <v>16</v>
      </c>
      <c r="D9" s="21">
        <v>19</v>
      </c>
      <c r="E9" s="21">
        <v>15</v>
      </c>
      <c r="F9" s="21">
        <v>23</v>
      </c>
      <c r="G9" s="22"/>
    </row>
    <row r="10" spans="1:7">
      <c r="A10" s="12" t="s">
        <v>156</v>
      </c>
      <c r="B10" s="21" t="s">
        <v>147</v>
      </c>
      <c r="C10" s="21">
        <v>18</v>
      </c>
      <c r="D10" s="21">
        <v>13</v>
      </c>
      <c r="E10" s="21">
        <v>16</v>
      </c>
      <c r="F10" s="21">
        <v>23</v>
      </c>
      <c r="G10" s="2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F12"/>
  <sheetViews>
    <sheetView workbookViewId="0"/>
  </sheetViews>
  <sheetFormatPr defaultRowHeight="17"/>
  <cols>
    <col min="1" max="16384" width="8.6640625" style="8"/>
  </cols>
  <sheetData>
    <row r="2" spans="1:6">
      <c r="A2" s="23" t="s">
        <v>157</v>
      </c>
      <c r="B2" s="23" t="s">
        <v>158</v>
      </c>
      <c r="C2" s="23" t="s">
        <v>159</v>
      </c>
      <c r="D2" s="23" t="s">
        <v>160</v>
      </c>
      <c r="E2" s="23" t="s">
        <v>161</v>
      </c>
      <c r="F2" s="23" t="s">
        <v>162</v>
      </c>
    </row>
    <row r="3" spans="1:6">
      <c r="A3" s="24" t="s">
        <v>163</v>
      </c>
      <c r="B3" s="24" t="s">
        <v>164</v>
      </c>
      <c r="C3" s="25" t="s">
        <v>165</v>
      </c>
      <c r="D3" s="26">
        <v>5</v>
      </c>
      <c r="E3" s="26">
        <v>100000</v>
      </c>
      <c r="F3" s="26">
        <v>28000</v>
      </c>
    </row>
    <row r="4" spans="1:6">
      <c r="A4" s="24" t="s">
        <v>166</v>
      </c>
      <c r="B4" s="24" t="s">
        <v>167</v>
      </c>
      <c r="C4" s="25" t="s">
        <v>168</v>
      </c>
      <c r="D4" s="26">
        <v>4</v>
      </c>
      <c r="E4" s="26">
        <v>100000</v>
      </c>
      <c r="F4" s="26">
        <v>55000</v>
      </c>
    </row>
    <row r="5" spans="1:6">
      <c r="A5" s="24" t="s">
        <v>169</v>
      </c>
      <c r="B5" s="24" t="s">
        <v>170</v>
      </c>
      <c r="C5" s="25" t="s">
        <v>171</v>
      </c>
      <c r="D5" s="26">
        <v>4</v>
      </c>
      <c r="E5" s="26">
        <v>120000</v>
      </c>
      <c r="F5" s="26">
        <v>50000</v>
      </c>
    </row>
    <row r="6" spans="1:6">
      <c r="A6" s="24" t="s">
        <v>172</v>
      </c>
      <c r="B6" s="27" t="s">
        <v>173</v>
      </c>
      <c r="C6" s="25" t="s">
        <v>168</v>
      </c>
      <c r="D6" s="26">
        <v>6</v>
      </c>
      <c r="E6" s="26">
        <v>120000</v>
      </c>
      <c r="F6" s="26">
        <v>60000</v>
      </c>
    </row>
    <row r="7" spans="1:6">
      <c r="A7" s="24" t="s">
        <v>174</v>
      </c>
      <c r="B7" s="27" t="s">
        <v>173</v>
      </c>
      <c r="C7" s="25" t="s">
        <v>168</v>
      </c>
      <c r="D7" s="26">
        <v>5</v>
      </c>
      <c r="E7" s="26">
        <v>80000</v>
      </c>
      <c r="F7" s="26">
        <v>50000</v>
      </c>
    </row>
    <row r="8" spans="1:6">
      <c r="A8" s="24" t="s">
        <v>175</v>
      </c>
      <c r="B8" s="27" t="s">
        <v>173</v>
      </c>
      <c r="C8" s="25" t="s">
        <v>176</v>
      </c>
      <c r="D8" s="26">
        <v>7</v>
      </c>
      <c r="E8" s="26">
        <v>120000</v>
      </c>
      <c r="F8" s="26">
        <v>30000</v>
      </c>
    </row>
    <row r="9" spans="1:6">
      <c r="A9" s="24" t="s">
        <v>177</v>
      </c>
      <c r="B9" s="27" t="s">
        <v>178</v>
      </c>
      <c r="C9" s="25" t="s">
        <v>176</v>
      </c>
      <c r="D9" s="26">
        <v>6</v>
      </c>
      <c r="E9" s="26">
        <v>65000</v>
      </c>
      <c r="F9" s="26">
        <v>24000</v>
      </c>
    </row>
    <row r="10" spans="1:6">
      <c r="A10" s="24" t="s">
        <v>179</v>
      </c>
      <c r="B10" s="24" t="s">
        <v>180</v>
      </c>
      <c r="C10" s="25" t="s">
        <v>165</v>
      </c>
      <c r="D10" s="26">
        <v>6</v>
      </c>
      <c r="E10" s="26">
        <v>80000</v>
      </c>
      <c r="F10" s="26">
        <v>26000</v>
      </c>
    </row>
    <row r="11" spans="1:6">
      <c r="A11" s="24" t="s">
        <v>181</v>
      </c>
      <c r="B11" s="27" t="s">
        <v>178</v>
      </c>
      <c r="C11" s="25" t="s">
        <v>176</v>
      </c>
      <c r="D11" s="26">
        <v>8</v>
      </c>
      <c r="E11" s="26">
        <v>65000</v>
      </c>
      <c r="F11" s="26">
        <v>24000</v>
      </c>
    </row>
    <row r="12" spans="1:6">
      <c r="A12" s="24" t="s">
        <v>182</v>
      </c>
      <c r="B12" s="27" t="s">
        <v>173</v>
      </c>
      <c r="C12" s="25" t="s">
        <v>171</v>
      </c>
      <c r="D12" s="26">
        <v>6</v>
      </c>
      <c r="E12" s="26">
        <v>120000</v>
      </c>
      <c r="F12" s="26">
        <v>50000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2022-05-15T10:51:03Z</dcterms:created>
  <dcterms:modified xsi:type="dcterms:W3CDTF">2023-03-16T10:41:04Z</dcterms:modified>
</cp:coreProperties>
</file>