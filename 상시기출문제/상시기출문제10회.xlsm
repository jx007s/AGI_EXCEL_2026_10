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상시시험문제\"/>
    </mc:Choice>
  </mc:AlternateContent>
  <xr:revisionPtr revIDLastSave="0" documentId="13_ncr:1_{F755023B-23CB-4B3A-8420-5F54F1761B39}" xr6:coauthVersionLast="47" xr6:coauthVersionMax="47" xr10:uidLastSave="{00000000-0000-0000-0000-000000000000}"/>
  <bookViews>
    <workbookView xWindow="16620" yWindow="2750" windowWidth="16370" windowHeight="12320" tabRatio="902" xr2:uid="{00000000-000D-0000-FFFF-FFFF00000000}"/>
  </bookViews>
  <sheets>
    <sheet name="기본작업-1" sheetId="1" r:id="rId1"/>
    <sheet name="기본작업-2" sheetId="3" r:id="rId2"/>
    <sheet name="기본작업-3" sheetId="2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5" l="1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</calcChain>
</file>

<file path=xl/sharedStrings.xml><?xml version="1.0" encoding="utf-8"?>
<sst xmlns="http://schemas.openxmlformats.org/spreadsheetml/2006/main" count="338" uniqueCount="252">
  <si>
    <t>콜드 브루 커피</t>
    <phoneticPr fontId="1" type="noConversion"/>
  </si>
  <si>
    <t>브루드 커피</t>
    <phoneticPr fontId="1" type="noConversion"/>
  </si>
  <si>
    <t>에스프레소</t>
    <phoneticPr fontId="1" type="noConversion"/>
  </si>
  <si>
    <t>프라푸치노</t>
    <phoneticPr fontId="1" type="noConversion"/>
  </si>
  <si>
    <t>블렌디드</t>
    <phoneticPr fontId="1" type="noConversion"/>
  </si>
  <si>
    <t>피지오</t>
    <phoneticPr fontId="1" type="noConversion"/>
  </si>
  <si>
    <t>티바나</t>
    <phoneticPr fontId="1" type="noConversion"/>
  </si>
  <si>
    <t>주스(병음료)</t>
    <phoneticPr fontId="1" type="noConversion"/>
  </si>
  <si>
    <t>제주 라떼</t>
    <phoneticPr fontId="1" type="noConversion"/>
  </si>
  <si>
    <t>음료</t>
    <phoneticPr fontId="1" type="noConversion"/>
  </si>
  <si>
    <t>시그니처 초콜릿</t>
    <phoneticPr fontId="1" type="noConversion"/>
  </si>
  <si>
    <t>밀크 티</t>
    <phoneticPr fontId="1" type="noConversion"/>
  </si>
  <si>
    <t>티 라떼</t>
    <phoneticPr fontId="1" type="noConversion"/>
  </si>
  <si>
    <t>상공카페 판매 실적표</t>
    <phoneticPr fontId="1" type="noConversion"/>
  </si>
  <si>
    <t>아파트</t>
    <phoneticPr fontId="1" type="noConversion"/>
  </si>
  <si>
    <t>강남구</t>
    <phoneticPr fontId="1" type="noConversion"/>
  </si>
  <si>
    <t>강동구</t>
    <phoneticPr fontId="1" type="noConversion"/>
  </si>
  <si>
    <t>강북구</t>
    <phoneticPr fontId="1" type="noConversion"/>
  </si>
  <si>
    <t>강서구</t>
    <phoneticPr fontId="1" type="noConversion"/>
  </si>
  <si>
    <t>단독/다가구</t>
    <phoneticPr fontId="1" type="noConversion"/>
  </si>
  <si>
    <t>다세대/연립</t>
    <phoneticPr fontId="1" type="noConversion"/>
  </si>
  <si>
    <t>7월</t>
    <phoneticPr fontId="1" type="noConversion"/>
  </si>
  <si>
    <t>9월</t>
  </si>
  <si>
    <t>10월</t>
  </si>
  <si>
    <t>11월</t>
  </si>
  <si>
    <t>12월</t>
  </si>
  <si>
    <t>8월</t>
    <phoneticPr fontId="1" type="noConversion"/>
  </si>
  <si>
    <t>서울특별시</t>
    <phoneticPr fontId="1" type="noConversion"/>
  </si>
  <si>
    <t>부동산 매매</t>
    <phoneticPr fontId="1" type="noConversion"/>
  </si>
  <si>
    <t>서울특별시 거래 현황</t>
    <phoneticPr fontId="1" type="noConversion"/>
  </si>
  <si>
    <t>납세자</t>
    <phoneticPr fontId="1" type="noConversion"/>
  </si>
  <si>
    <t>자동차세</t>
    <phoneticPr fontId="1" type="noConversion"/>
  </si>
  <si>
    <t>지방교육세</t>
    <phoneticPr fontId="1" type="noConversion"/>
  </si>
  <si>
    <t>합계</t>
    <phoneticPr fontId="1" type="noConversion"/>
  </si>
  <si>
    <t>배기량</t>
    <phoneticPr fontId="1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</si>
  <si>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</si>
  <si>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</si>
  <si>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</si>
  <si>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</si>
  <si>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</si>
  <si>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</si>
  <si>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</si>
  <si>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</si>
  <si>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</si>
  <si>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비영업용 상반기 자동차세</t>
    <phoneticPr fontId="1" type="noConversion"/>
  </si>
  <si>
    <t>재단명</t>
    <phoneticPr fontId="1" type="noConversion"/>
  </si>
  <si>
    <t>삼화저축</t>
    <phoneticPr fontId="1" type="noConversion"/>
  </si>
  <si>
    <t>전일저축</t>
    <phoneticPr fontId="1" type="noConversion"/>
  </si>
  <si>
    <t>으뜸저축</t>
    <phoneticPr fontId="1" type="noConversion"/>
  </si>
  <si>
    <t>대전저축</t>
    <phoneticPr fontId="1" type="noConversion"/>
  </si>
  <si>
    <t>보해저축</t>
    <phoneticPr fontId="1" type="noConversion"/>
  </si>
  <si>
    <t>지원액</t>
    <phoneticPr fontId="1" type="noConversion"/>
  </si>
  <si>
    <t>회수액</t>
    <phoneticPr fontId="1" type="noConversion"/>
  </si>
  <si>
    <t>미회수액</t>
    <phoneticPr fontId="1" type="noConversion"/>
  </si>
  <si>
    <t>프라임저축</t>
    <phoneticPr fontId="1" type="noConversion"/>
  </si>
  <si>
    <t>회수율</t>
    <phoneticPr fontId="1" type="noConversion"/>
  </si>
  <si>
    <t>예금보험공사 지원액</t>
    <phoneticPr fontId="1" type="noConversion"/>
  </si>
  <si>
    <t>사원코드</t>
  </si>
  <si>
    <t>사원명</t>
  </si>
  <si>
    <t>부서</t>
  </si>
  <si>
    <t>기본급</t>
  </si>
  <si>
    <t>근속년수</t>
  </si>
  <si>
    <t>근속수당</t>
  </si>
  <si>
    <t>실수령액</t>
  </si>
  <si>
    <t>G7701003</t>
  </si>
  <si>
    <t>박태석</t>
  </si>
  <si>
    <t>총무부</t>
  </si>
  <si>
    <t>C9832012</t>
  </si>
  <si>
    <t>박민수</t>
  </si>
  <si>
    <t>H9945311</t>
  </si>
  <si>
    <t>이기자</t>
  </si>
  <si>
    <t>G7701001</t>
  </si>
  <si>
    <t>오덕환</t>
  </si>
  <si>
    <t>기획부</t>
  </si>
  <si>
    <t>H9945312</t>
  </si>
  <si>
    <t>김민서</t>
  </si>
  <si>
    <t>홍보부</t>
  </si>
  <si>
    <t>G7701002</t>
  </si>
  <si>
    <t>김복용</t>
  </si>
  <si>
    <t>P9832013</t>
  </si>
  <si>
    <t>강승래</t>
  </si>
  <si>
    <t>판매부</t>
  </si>
  <si>
    <t>G9701006</t>
  </si>
  <si>
    <t>정민영</t>
  </si>
  <si>
    <t>P9832015</t>
  </si>
  <si>
    <t>이다혜</t>
  </si>
  <si>
    <t>G9701004</t>
  </si>
  <si>
    <t>김민자</t>
  </si>
  <si>
    <t>G9832014</t>
  </si>
  <si>
    <t>김영남</t>
  </si>
  <si>
    <t>H9701007</t>
  </si>
  <si>
    <t>홍다현</t>
  </si>
  <si>
    <t>H9701006</t>
  </si>
  <si>
    <t>김현빈</t>
  </si>
  <si>
    <t>G9701005</t>
  </si>
  <si>
    <t>임병호</t>
  </si>
  <si>
    <t>G9832013</t>
  </si>
  <si>
    <t>김광수</t>
  </si>
  <si>
    <t>H9945313</t>
  </si>
  <si>
    <t>이승준</t>
  </si>
  <si>
    <t>P9701003</t>
  </si>
  <si>
    <t>안도연</t>
  </si>
  <si>
    <t>P9701004</t>
  </si>
  <si>
    <t>이승현</t>
  </si>
  <si>
    <t>P9701005</t>
  </si>
  <si>
    <t>김두아</t>
  </si>
  <si>
    <t>P9701006</t>
  </si>
  <si>
    <t>이승주</t>
  </si>
  <si>
    <t>P9701007</t>
  </si>
  <si>
    <t>김정석</t>
  </si>
  <si>
    <t>P9701008</t>
  </si>
  <si>
    <t>임희윤</t>
  </si>
  <si>
    <t>H9701005</t>
  </si>
  <si>
    <t>여해경</t>
  </si>
  <si>
    <t>G9832012</t>
  </si>
  <si>
    <t>김태호</t>
  </si>
  <si>
    <t>부서별 급여 현황</t>
    <phoneticPr fontId="1" type="noConversion"/>
  </si>
  <si>
    <t>사원번호</t>
    <phoneticPr fontId="1" type="noConversion"/>
  </si>
  <si>
    <t>근무지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</si>
  <si>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</si>
  <si>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</si>
  <si>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</si>
  <si>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</si>
  <si>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</si>
  <si>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</si>
  <si>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</si>
  <si>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</si>
  <si>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</si>
  <si>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</si>
  <si>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</si>
  <si>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</si>
  <si>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</si>
  <si>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</si>
  <si>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</si>
  <si>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</si>
  <si>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</si>
  <si>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</si>
  <si>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</si>
  <si>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</si>
  <si>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</si>
  <si>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</si>
  <si>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</si>
  <si>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</si>
  <si>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</si>
  <si>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</si>
  <si>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</si>
  <si>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</si>
  <si>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</si>
  <si>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</si>
  <si>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</si>
  <si>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</si>
  <si>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*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</si>
  <si>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</si>
  <si>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</si>
  <si>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</si>
  <si>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</si>
  <si>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근무지별 급여현황</t>
    <phoneticPr fontId="1" type="noConversion"/>
  </si>
  <si>
    <t>[표1]</t>
    <phoneticPr fontId="1" type="noConversion"/>
  </si>
  <si>
    <t>[표2]</t>
    <phoneticPr fontId="1" type="noConversion"/>
  </si>
  <si>
    <r>
      <t>(단위:천원</t>
    </r>
    <r>
      <rPr>
        <sz val="11"/>
        <color theme="1"/>
        <rFont val="맑은 고딕"/>
        <family val="3"/>
        <charset val="129"/>
        <scheme val="minor"/>
      </rPr>
      <t>)</t>
    </r>
    <phoneticPr fontId="10" type="noConversion"/>
  </si>
  <si>
    <t>선수명</t>
    <phoneticPr fontId="10" type="noConversion"/>
  </si>
  <si>
    <t>소속팀</t>
    <phoneticPr fontId="10" type="noConversion"/>
  </si>
  <si>
    <t>개인점수</t>
    <phoneticPr fontId="10" type="noConversion"/>
  </si>
  <si>
    <t>순위</t>
    <phoneticPr fontId="1" type="noConversion"/>
  </si>
  <si>
    <t>제품코드</t>
    <phoneticPr fontId="10" type="noConversion"/>
  </si>
  <si>
    <t>제품명</t>
    <phoneticPr fontId="10" type="noConversion"/>
  </si>
  <si>
    <t>판매량</t>
  </si>
  <si>
    <t>판매금액</t>
    <phoneticPr fontId="10" type="noConversion"/>
  </si>
  <si>
    <t>&lt;제품 단가표&gt;</t>
    <phoneticPr fontId="10" type="noConversion"/>
  </si>
  <si>
    <t>조현우</t>
    <phoneticPr fontId="10" type="noConversion"/>
  </si>
  <si>
    <t>서울</t>
    <phoneticPr fontId="10" type="noConversion"/>
  </si>
  <si>
    <t>WAS-A</t>
    <phoneticPr fontId="1" type="noConversion"/>
  </si>
  <si>
    <t>세탁기</t>
    <phoneticPr fontId="1" type="noConversion"/>
  </si>
  <si>
    <t>제품번호</t>
    <phoneticPr fontId="10" type="noConversion"/>
  </si>
  <si>
    <t>단가</t>
    <phoneticPr fontId="10" type="noConversion"/>
  </si>
  <si>
    <t>김혁진</t>
    <phoneticPr fontId="10" type="noConversion"/>
  </si>
  <si>
    <t>부산</t>
    <phoneticPr fontId="10" type="noConversion"/>
  </si>
  <si>
    <t>DRY-B</t>
    <phoneticPr fontId="1" type="noConversion"/>
  </si>
  <si>
    <t>DRY-B</t>
    <phoneticPr fontId="1" type="noConversion"/>
  </si>
  <si>
    <t>건조기</t>
    <phoneticPr fontId="1" type="noConversion"/>
  </si>
  <si>
    <t>민준수</t>
    <phoneticPr fontId="10" type="noConversion"/>
  </si>
  <si>
    <t>광주</t>
    <phoneticPr fontId="10" type="noConversion"/>
  </si>
  <si>
    <t>WSM-C</t>
    <phoneticPr fontId="1" type="noConversion"/>
  </si>
  <si>
    <t>세탁기</t>
    <phoneticPr fontId="1" type="noConversion"/>
  </si>
  <si>
    <t>성도경</t>
    <phoneticPr fontId="1" type="noConversion"/>
  </si>
  <si>
    <t>서울</t>
    <phoneticPr fontId="10" type="noConversion"/>
  </si>
  <si>
    <t>WAS-A</t>
    <phoneticPr fontId="1" type="noConversion"/>
  </si>
  <si>
    <t>세탁기</t>
    <phoneticPr fontId="1" type="noConversion"/>
  </si>
  <si>
    <t>WSM-C</t>
    <phoneticPr fontId="1" type="noConversion"/>
  </si>
  <si>
    <t>곽승호</t>
    <phoneticPr fontId="1" type="noConversion"/>
  </si>
  <si>
    <t>서현국</t>
    <phoneticPr fontId="10" type="noConversion"/>
  </si>
  <si>
    <t>부산</t>
    <phoneticPr fontId="10" type="noConversion"/>
  </si>
  <si>
    <t>건조기</t>
    <phoneticPr fontId="1" type="noConversion"/>
  </si>
  <si>
    <t>이정현</t>
    <phoneticPr fontId="10" type="noConversion"/>
  </si>
  <si>
    <t>박정호</t>
    <phoneticPr fontId="10" type="noConversion"/>
  </si>
  <si>
    <t>서울</t>
    <phoneticPr fontId="10" type="noConversion"/>
  </si>
  <si>
    <t>공필승</t>
    <phoneticPr fontId="10" type="noConversion"/>
  </si>
  <si>
    <t>건조기</t>
    <phoneticPr fontId="1" type="noConversion"/>
  </si>
  <si>
    <t>[표3]</t>
    <phoneticPr fontId="1" type="noConversion"/>
  </si>
  <si>
    <t>[표4]</t>
    <phoneticPr fontId="1" type="noConversion"/>
  </si>
  <si>
    <t>학생명</t>
    <phoneticPr fontId="1" type="noConversion"/>
  </si>
  <si>
    <t>성별</t>
    <phoneticPr fontId="1" type="noConversion"/>
  </si>
  <si>
    <t>학년</t>
    <phoneticPr fontId="1" type="noConversion"/>
  </si>
  <si>
    <t>평균점수</t>
    <phoneticPr fontId="1" type="noConversion"/>
  </si>
  <si>
    <t>사원명</t>
    <phoneticPr fontId="1" type="noConversion"/>
  </si>
  <si>
    <t>연수점수</t>
    <phoneticPr fontId="1" type="noConversion"/>
  </si>
  <si>
    <t>평가등급</t>
    <phoneticPr fontId="1" type="noConversion"/>
  </si>
  <si>
    <t>총점</t>
    <phoneticPr fontId="1" type="noConversion"/>
  </si>
  <si>
    <t>정우진</t>
    <phoneticPr fontId="1" type="noConversion"/>
  </si>
  <si>
    <t>남</t>
    <phoneticPr fontId="1" type="noConversion"/>
  </si>
  <si>
    <t>1학년</t>
    <phoneticPr fontId="1" type="noConversion"/>
  </si>
  <si>
    <t>전수민</t>
    <phoneticPr fontId="1" type="noConversion"/>
  </si>
  <si>
    <t>A</t>
    <phoneticPr fontId="1" type="noConversion"/>
  </si>
  <si>
    <t>최민혁</t>
    <phoneticPr fontId="1" type="noConversion"/>
  </si>
  <si>
    <t>2학년</t>
    <phoneticPr fontId="1" type="noConversion"/>
  </si>
  <si>
    <t>이규진</t>
    <phoneticPr fontId="1" type="noConversion"/>
  </si>
  <si>
    <t>B</t>
    <phoneticPr fontId="1" type="noConversion"/>
  </si>
  <si>
    <t>정여진</t>
    <phoneticPr fontId="1" type="noConversion"/>
  </si>
  <si>
    <t>여</t>
    <phoneticPr fontId="1" type="noConversion"/>
  </si>
  <si>
    <t>3학년</t>
    <phoneticPr fontId="1" type="noConversion"/>
  </si>
  <si>
    <t>임지호</t>
    <phoneticPr fontId="1" type="noConversion"/>
  </si>
  <si>
    <t>C</t>
    <phoneticPr fontId="1" type="noConversion"/>
  </si>
  <si>
    <t>공서연</t>
    <phoneticPr fontId="1" type="noConversion"/>
  </si>
  <si>
    <t>서민준</t>
    <phoneticPr fontId="1" type="noConversion"/>
  </si>
  <si>
    <t>A</t>
    <phoneticPr fontId="1" type="noConversion"/>
  </si>
  <si>
    <t>성정훈</t>
    <phoneticPr fontId="1" type="noConversion"/>
  </si>
  <si>
    <t>고우람</t>
    <phoneticPr fontId="1" type="noConversion"/>
  </si>
  <si>
    <t>김현수</t>
    <phoneticPr fontId="1" type="noConversion"/>
  </si>
  <si>
    <t>민설현</t>
    <phoneticPr fontId="1" type="noConversion"/>
  </si>
  <si>
    <t>B</t>
  </si>
  <si>
    <t>이정훈</t>
    <phoneticPr fontId="1" type="noConversion"/>
  </si>
  <si>
    <t>최중호</t>
    <phoneticPr fontId="1" type="noConversion"/>
  </si>
  <si>
    <t>전인지</t>
    <phoneticPr fontId="1" type="noConversion"/>
  </si>
  <si>
    <t>박정환</t>
    <phoneticPr fontId="1" type="noConversion"/>
  </si>
  <si>
    <t>한혜진</t>
    <phoneticPr fontId="1" type="noConversion"/>
  </si>
  <si>
    <t>권상우</t>
    <phoneticPr fontId="1" type="noConversion"/>
  </si>
  <si>
    <t>A등급 최대값-최소값 차이</t>
    <phoneticPr fontId="1" type="noConversion"/>
  </si>
  <si>
    <t>1학년 학생수</t>
    <phoneticPr fontId="1" type="noConversion"/>
  </si>
  <si>
    <t>[표5]</t>
    <phoneticPr fontId="1" type="noConversion"/>
  </si>
  <si>
    <t>통화명</t>
    <phoneticPr fontId="1" type="noConversion"/>
  </si>
  <si>
    <t>환율</t>
    <phoneticPr fontId="1" type="noConversion"/>
  </si>
  <si>
    <t>USD</t>
    <phoneticPr fontId="1" type="noConversion"/>
  </si>
  <si>
    <t>JPY</t>
    <phoneticPr fontId="1" type="noConversion"/>
  </si>
  <si>
    <t>EUR</t>
    <phoneticPr fontId="1" type="noConversion"/>
  </si>
  <si>
    <t>환율</t>
    <phoneticPr fontId="1" type="noConversion"/>
  </si>
  <si>
    <t>CNY</t>
    <phoneticPr fontId="1" type="noConversion"/>
  </si>
  <si>
    <t>EUR</t>
    <phoneticPr fontId="1" type="noConversion"/>
  </si>
  <si>
    <t>25년 한국 프로야구(KBO) 순위</t>
    <phoneticPr fontId="1" type="noConversion"/>
  </si>
  <si>
    <t>2023년</t>
    <phoneticPr fontId="1" type="noConversion"/>
  </si>
  <si>
    <t>2024년</t>
    <phoneticPr fontId="1" type="noConversion"/>
  </si>
  <si>
    <t>2025년</t>
    <phoneticPr fontId="1" type="noConversion"/>
  </si>
  <si>
    <t>2026년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</si>
</sst>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);[Red]\(#,##0\)"/>
    <numFmt numFmtId="177" formatCode="mm&quot;월&quot;\ dd&quot;일&quot;"/>
    <numFmt numFmtId="178" formatCode="#,##0_ "/>
    <numFmt numFmtId="179" formatCode="0.0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1" applyNumberFormat="1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right" vertical="center"/>
    </xf>
    <xf numFmtId="0" fontId="7" fillId="0" borderId="0" xfId="2" applyFont="1" applyFill="1">
      <alignment vertical="center"/>
    </xf>
    <xf numFmtId="0" fontId="6" fillId="0" borderId="0" xfId="2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1" xfId="0" applyFont="1" applyFill="1" applyBorder="1" applyAlignment="1">
      <alignment horizontal="center"/>
    </xf>
    <xf numFmtId="0" fontId="0" fillId="2" borderId="1" xfId="0" applyNumberForma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7" fontId="9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right" vertical="center"/>
    </xf>
    <xf numFmtId="176" fontId="8" fillId="0" borderId="1" xfId="1" applyNumberFormat="1" applyFont="1" applyBorder="1" applyAlignment="1">
      <alignment horizontal="right"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right" vertical="center"/>
    </xf>
    <xf numFmtId="178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1" xfId="0" applyNumberFormat="1" applyBorder="1" applyAlignment="1">
      <alignment horizontal="center" vertical="center"/>
    </xf>
    <xf numFmtId="1" fontId="0" fillId="0" borderId="1" xfId="0" quotePrefix="1" applyNumberFormat="1" applyBorder="1" applyAlignment="1">
      <alignment horizontal="center"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3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지원액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차트작업!$B$4:$B$9</c:f>
              <c:numCache>
                <c:formatCode>_(* #,##0_);_(* \(#,##0\);_(* "-"_);_(@_)</c:formatCode>
                <c:ptCount val="6"/>
                <c:pt idx="0">
                  <c:v>4791</c:v>
                </c:pt>
                <c:pt idx="1">
                  <c:v>9615</c:v>
                </c:pt>
                <c:pt idx="2">
                  <c:v>5936</c:v>
                </c:pt>
                <c:pt idx="3">
                  <c:v>9819</c:v>
                </c:pt>
                <c:pt idx="4">
                  <c:v>8549</c:v>
                </c:pt>
                <c:pt idx="5">
                  <c:v>6260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1-4F4A-8F53-2D2A7B584DD9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회수액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1558</c:v>
                </c:pt>
                <c:pt idx="1">
                  <c:v>3220</c:v>
                </c:pt>
                <c:pt idx="2">
                  <c:v>2325</c:v>
                </c:pt>
                <c:pt idx="3">
                  <c:v>4589</c:v>
                </c:pt>
                <c:pt idx="4">
                  <c:v>1007</c:v>
                </c:pt>
                <c:pt idx="5">
                  <c:v>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1-4F4A-8F53-2D2A7B584DD9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미회수액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3233</c:v>
                </c:pt>
                <c:pt idx="1">
                  <c:v>6395</c:v>
                </c:pt>
                <c:pt idx="2">
                  <c:v>3611</c:v>
                </c:pt>
                <c:pt idx="3">
                  <c:v>5230</c:v>
                </c:pt>
                <c:pt idx="4">
                  <c:v>7542</c:v>
                </c:pt>
                <c:pt idx="5">
                  <c:v>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1-4F4A-8F53-2D2A7B584DD9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회수율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으뜸저축</c:v>
                </c:pt>
                <c:pt idx="1">
                  <c:v>전일저축</c:v>
                </c:pt>
                <c:pt idx="2">
                  <c:v>삼화저축</c:v>
                </c:pt>
                <c:pt idx="3">
                  <c:v>대전저축</c:v>
                </c:pt>
                <c:pt idx="4">
                  <c:v>보해저축</c:v>
                </c:pt>
                <c:pt idx="5">
                  <c:v>프라임저축</c:v>
                </c:pt>
              </c:strCache>
            </c:strRef>
          </c:cat>
          <c:val>
            <c:numRef>
              <c:f>차트작업!$E$4:$E$9</c:f>
              <c:numCache>
                <c:formatCode>0.00%</c:formatCode>
                <c:ptCount val="6"/>
                <c:pt idx="0">
                  <c:v>0.32500000000000001</c:v>
                </c:pt>
                <c:pt idx="1">
                  <c:v>0.33500000000000002</c:v>
                </c:pt>
                <c:pt idx="2">
                  <c:v>0.39200000000000002</c:v>
                </c:pt>
                <c:pt idx="3">
                  <c:v>0.46700000000000003</c:v>
                </c:pt>
                <c:pt idx="4">
                  <c:v>0.11799999999999999</c:v>
                </c:pt>
                <c:pt idx="5">
                  <c:v>0.65900000000000003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71-4F4A-8F53-2D2A7B58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0275167"/>
        <c:axId val="2080270591"/>
      </c:barChart>
      <c:catAx>
        <c:axId val="20802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0270591"/>
        <c:crosses val="autoZero"/>
        <c:auto val="1"/>
        <c:lblAlgn val="ctr"/>
        <c:lblOffset val="100"/>
        <c:noMultiLvlLbl val="0"/>
      </c:catAx>
      <c:valAx>
        <c:axId val="208027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02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t="s">
        <v>247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6"/>
  <sheetViews>
    <sheetView workbookViewId="0"/>
  </sheetViews>
  <sheetFormatPr defaultRowHeight="17"/>
  <cols>
    <col min="1" max="1" width="10.75" customWidth="1"/>
  </cols>
  <sheetData>
    <row r="1" spans="1:8">
      <c r="A1" t="s">
        <v>29</v>
      </c>
    </row>
    <row r="3" spans="1:8">
      <c r="A3" t="s">
        <v>28</v>
      </c>
      <c r="C3" t="s">
        <v>21</v>
      </c>
      <c r="D3" t="s">
        <v>26</v>
      </c>
      <c r="E3" t="s">
        <v>22</v>
      </c>
      <c r="F3" t="s">
        <v>23</v>
      </c>
      <c r="G3" t="s">
        <v>24</v>
      </c>
      <c r="H3" t="s">
        <v>25</v>
      </c>
    </row>
    <row r="4" spans="1:8">
      <c r="A4" t="s">
        <v>27</v>
      </c>
      <c r="C4">
        <v>4680</v>
      </c>
      <c r="D4">
        <v>4065</v>
      </c>
      <c r="E4">
        <v>2696</v>
      </c>
      <c r="F4">
        <v>2194</v>
      </c>
      <c r="G4">
        <v>1360</v>
      </c>
      <c r="H4">
        <v>1124</v>
      </c>
    </row>
    <row r="5" spans="1:8">
      <c r="A5" t="s">
        <v>14</v>
      </c>
      <c r="B5" t="s">
        <v>15</v>
      </c>
      <c r="C5">
        <v>206</v>
      </c>
      <c r="D5">
        <v>191</v>
      </c>
      <c r="E5">
        <v>141</v>
      </c>
      <c r="F5">
        <v>122</v>
      </c>
      <c r="G5">
        <v>105</v>
      </c>
      <c r="H5">
        <v>69</v>
      </c>
    </row>
    <row r="6" spans="1:8">
      <c r="B6" t="s">
        <v>16</v>
      </c>
      <c r="C6">
        <v>171</v>
      </c>
      <c r="D6">
        <v>186</v>
      </c>
      <c r="E6">
        <v>118</v>
      </c>
      <c r="F6">
        <v>120</v>
      </c>
      <c r="G6">
        <v>73</v>
      </c>
      <c r="H6">
        <v>64</v>
      </c>
    </row>
    <row r="7" spans="1:8">
      <c r="B7" t="s">
        <v>17</v>
      </c>
      <c r="C7">
        <v>130</v>
      </c>
      <c r="D7">
        <v>110</v>
      </c>
      <c r="E7">
        <v>47</v>
      </c>
      <c r="F7">
        <v>31</v>
      </c>
      <c r="G7">
        <v>19</v>
      </c>
      <c r="H7">
        <v>13</v>
      </c>
    </row>
    <row r="8" spans="1:8">
      <c r="B8" t="s">
        <v>18</v>
      </c>
      <c r="C8">
        <v>373</v>
      </c>
      <c r="D8">
        <v>316</v>
      </c>
      <c r="E8">
        <v>146</v>
      </c>
      <c r="F8">
        <v>117</v>
      </c>
      <c r="G8">
        <v>75</v>
      </c>
      <c r="H8">
        <v>59</v>
      </c>
    </row>
    <row r="9" spans="1:8">
      <c r="A9" t="s">
        <v>19</v>
      </c>
      <c r="B9" t="s">
        <v>15</v>
      </c>
      <c r="C9">
        <v>22</v>
      </c>
      <c r="D9">
        <v>18</v>
      </c>
      <c r="E9">
        <v>16</v>
      </c>
      <c r="F9">
        <v>23</v>
      </c>
      <c r="G9">
        <v>18</v>
      </c>
      <c r="H9">
        <v>9</v>
      </c>
    </row>
    <row r="10" spans="1:8">
      <c r="B10" t="s">
        <v>16</v>
      </c>
      <c r="C10">
        <v>36</v>
      </c>
      <c r="D10">
        <v>33</v>
      </c>
      <c r="E10">
        <v>24</v>
      </c>
      <c r="F10">
        <v>24</v>
      </c>
      <c r="G10">
        <v>28</v>
      </c>
      <c r="H10">
        <v>25</v>
      </c>
    </row>
    <row r="11" spans="1:8">
      <c r="B11" t="s">
        <v>17</v>
      </c>
      <c r="C11">
        <v>59</v>
      </c>
      <c r="D11">
        <v>61</v>
      </c>
      <c r="E11">
        <v>38</v>
      </c>
      <c r="F11">
        <v>30</v>
      </c>
      <c r="G11">
        <v>28</v>
      </c>
      <c r="H11">
        <v>27</v>
      </c>
    </row>
    <row r="12" spans="1:8">
      <c r="B12" t="s">
        <v>18</v>
      </c>
      <c r="C12">
        <v>23</v>
      </c>
      <c r="D12">
        <v>15</v>
      </c>
      <c r="E12">
        <v>33</v>
      </c>
      <c r="F12">
        <v>33</v>
      </c>
      <c r="G12">
        <v>22</v>
      </c>
      <c r="H12">
        <v>22</v>
      </c>
    </row>
    <row r="13" spans="1:8">
      <c r="A13" t="s">
        <v>20</v>
      </c>
      <c r="B13" t="s">
        <v>15</v>
      </c>
      <c r="C13">
        <v>131</v>
      </c>
      <c r="D13">
        <v>159</v>
      </c>
      <c r="E13">
        <v>91</v>
      </c>
      <c r="F13">
        <v>64</v>
      </c>
      <c r="G13">
        <v>62</v>
      </c>
      <c r="H13">
        <v>71</v>
      </c>
    </row>
    <row r="14" spans="1:8">
      <c r="B14" t="s">
        <v>16</v>
      </c>
      <c r="C14">
        <v>167</v>
      </c>
      <c r="D14">
        <v>179</v>
      </c>
      <c r="E14">
        <v>242</v>
      </c>
      <c r="F14">
        <v>142</v>
      </c>
      <c r="G14">
        <v>146</v>
      </c>
      <c r="H14">
        <v>204</v>
      </c>
    </row>
    <row r="15" spans="1:8">
      <c r="B15" t="s">
        <v>17</v>
      </c>
      <c r="C15">
        <v>249</v>
      </c>
      <c r="D15">
        <v>264</v>
      </c>
      <c r="E15">
        <v>262</v>
      </c>
      <c r="F15">
        <v>230</v>
      </c>
      <c r="G15">
        <v>171</v>
      </c>
      <c r="H15">
        <v>172</v>
      </c>
    </row>
    <row r="16" spans="1:8">
      <c r="B16" t="s">
        <v>18</v>
      </c>
      <c r="C16">
        <v>459</v>
      </c>
      <c r="D16">
        <v>435</v>
      </c>
      <c r="E16">
        <v>406</v>
      </c>
      <c r="F16">
        <v>446</v>
      </c>
      <c r="G16">
        <v>377</v>
      </c>
      <c r="H16">
        <v>318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5"/>
  <sheetViews>
    <sheetView workbookViewId="0">
      <selection activeCell="B3" sqref="B3:E3"/>
    </sheetView>
  </sheetViews>
  <sheetFormatPr defaultRowHeight="17"/>
  <cols>
    <col min="1" max="1" width="15" bestFit="1" customWidth="1"/>
  </cols>
  <sheetData>
    <row r="1" spans="1:5" ht="25.5">
      <c r="A1" s="37" t="s">
        <v>13</v>
      </c>
      <c r="B1" s="37"/>
      <c r="C1" s="37"/>
      <c r="D1" s="37"/>
      <c r="E1" s="37"/>
    </row>
    <row r="3" spans="1:5">
      <c r="A3" s="1" t="s">
        <v>9</v>
      </c>
      <c r="B3" s="1" t="s">
        <v>248</v>
      </c>
      <c r="C3" s="1" t="s">
        <v>249</v>
      </c>
      <c r="D3" s="1" t="s">
        <v>250</v>
      </c>
      <c r="E3" s="1" t="s">
        <v>251</v>
      </c>
    </row>
    <row r="4" spans="1:5">
      <c r="A4" s="1" t="s">
        <v>0</v>
      </c>
      <c r="B4" s="4">
        <v>8950</v>
      </c>
      <c r="C4" s="4">
        <v>9666</v>
      </c>
      <c r="D4" s="4">
        <v>7530</v>
      </c>
      <c r="E4" s="4">
        <v>8105</v>
      </c>
    </row>
    <row r="5" spans="1:5">
      <c r="A5" s="1" t="s">
        <v>1</v>
      </c>
      <c r="B5" s="4">
        <v>15776</v>
      </c>
      <c r="C5" s="4">
        <v>16743</v>
      </c>
      <c r="D5" s="4">
        <v>12030</v>
      </c>
      <c r="E5" s="4">
        <v>15104</v>
      </c>
    </row>
    <row r="6" spans="1:5">
      <c r="A6" s="1" t="s">
        <v>2</v>
      </c>
      <c r="B6" s="4">
        <v>5297</v>
      </c>
      <c r="C6" s="4">
        <v>5290</v>
      </c>
      <c r="D6" s="4">
        <v>5577</v>
      </c>
      <c r="E6" s="4">
        <v>4861</v>
      </c>
    </row>
    <row r="7" spans="1:5">
      <c r="A7" s="1" t="s">
        <v>3</v>
      </c>
      <c r="B7" s="4">
        <v>12192</v>
      </c>
      <c r="C7" s="4">
        <v>12826</v>
      </c>
      <c r="D7" s="4">
        <v>12222</v>
      </c>
      <c r="E7" s="4">
        <v>13078</v>
      </c>
    </row>
    <row r="8" spans="1:5">
      <c r="A8" s="1" t="s">
        <v>4</v>
      </c>
      <c r="B8" s="4">
        <v>10220</v>
      </c>
      <c r="C8" s="4">
        <v>10670</v>
      </c>
      <c r="D8" s="4">
        <v>12089</v>
      </c>
      <c r="E8" s="4">
        <v>13029</v>
      </c>
    </row>
    <row r="9" spans="1:5">
      <c r="A9" s="1" t="s">
        <v>5</v>
      </c>
      <c r="B9" s="4">
        <v>6525</v>
      </c>
      <c r="C9" s="4">
        <v>6632</v>
      </c>
      <c r="D9" s="4">
        <v>6552</v>
      </c>
      <c r="E9" s="4">
        <v>7841</v>
      </c>
    </row>
    <row r="10" spans="1:5">
      <c r="A10" s="1" t="s">
        <v>6</v>
      </c>
      <c r="B10" s="4">
        <v>3750</v>
      </c>
      <c r="C10" s="4">
        <v>3599</v>
      </c>
      <c r="D10" s="4">
        <v>4470</v>
      </c>
      <c r="E10" s="4">
        <v>4814</v>
      </c>
    </row>
    <row r="11" spans="1:5">
      <c r="A11" s="1" t="s">
        <v>11</v>
      </c>
      <c r="B11" s="4">
        <v>4400</v>
      </c>
      <c r="C11" s="4">
        <v>4309</v>
      </c>
      <c r="D11" s="4">
        <v>4652</v>
      </c>
      <c r="E11" s="4">
        <v>3922</v>
      </c>
    </row>
    <row r="12" spans="1:5">
      <c r="A12" s="1" t="s">
        <v>12</v>
      </c>
      <c r="B12" s="4">
        <v>6288</v>
      </c>
      <c r="C12" s="4">
        <v>6373</v>
      </c>
      <c r="D12" s="4">
        <v>7124</v>
      </c>
      <c r="E12" s="4">
        <v>6738</v>
      </c>
    </row>
    <row r="13" spans="1:5">
      <c r="A13" s="1" t="s">
        <v>10</v>
      </c>
      <c r="B13" s="4">
        <v>3770</v>
      </c>
      <c r="C13" s="4">
        <v>3621</v>
      </c>
      <c r="D13" s="4">
        <v>4609</v>
      </c>
      <c r="E13" s="4">
        <v>4775</v>
      </c>
    </row>
    <row r="14" spans="1:5">
      <c r="A14" s="1" t="s">
        <v>8</v>
      </c>
      <c r="B14" s="4">
        <v>7459</v>
      </c>
      <c r="C14" s="4">
        <v>7653</v>
      </c>
      <c r="D14" s="4">
        <v>8781</v>
      </c>
      <c r="E14" s="4">
        <v>8421</v>
      </c>
    </row>
    <row r="15" spans="1:5">
      <c r="A15" s="1" t="s">
        <v>7</v>
      </c>
      <c r="B15" s="4">
        <v>5189</v>
      </c>
      <c r="C15" s="4">
        <v>6784</v>
      </c>
      <c r="D15" s="4">
        <v>7515</v>
      </c>
      <c r="E15" s="4">
        <v>4998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2"/>
  <sheetViews>
    <sheetView workbookViewId="0"/>
  </sheetViews>
  <sheetFormatPr defaultRowHeight="17"/>
  <sheetData>
    <row r="1" spans="1:12">
      <c r="A1" s="8" t="s">
        <v>157</v>
      </c>
      <c r="B1" s="9"/>
      <c r="D1" s="10"/>
      <c r="F1" s="11" t="s">
        <v>158</v>
      </c>
      <c r="G1" s="12"/>
      <c r="H1" s="13"/>
      <c r="I1" s="13" t="s">
        <v>159</v>
      </c>
    </row>
    <row r="2" spans="1:12">
      <c r="A2" s="14" t="s">
        <v>160</v>
      </c>
      <c r="B2" s="14" t="s">
        <v>161</v>
      </c>
      <c r="C2" s="14" t="s">
        <v>162</v>
      </c>
      <c r="D2" s="15" t="s">
        <v>163</v>
      </c>
      <c r="F2" s="16" t="s">
        <v>164</v>
      </c>
      <c r="G2" s="16" t="s">
        <v>165</v>
      </c>
      <c r="H2" s="16" t="s">
        <v>166</v>
      </c>
      <c r="I2" s="17" t="s">
        <v>167</v>
      </c>
      <c r="K2" s="38" t="s">
        <v>168</v>
      </c>
      <c r="L2" s="38"/>
    </row>
    <row r="3" spans="1:12">
      <c r="A3" s="14" t="s">
        <v>169</v>
      </c>
      <c r="B3" s="14" t="s">
        <v>170</v>
      </c>
      <c r="C3" s="14">
        <v>85</v>
      </c>
      <c r="D3" s="18"/>
      <c r="F3" s="19" t="s">
        <v>171</v>
      </c>
      <c r="G3" s="16" t="s">
        <v>172</v>
      </c>
      <c r="H3" s="20">
        <v>101</v>
      </c>
      <c r="I3" s="21"/>
      <c r="K3" s="16" t="s">
        <v>173</v>
      </c>
      <c r="L3" s="16" t="s">
        <v>174</v>
      </c>
    </row>
    <row r="4" spans="1:12">
      <c r="A4" s="14" t="s">
        <v>175</v>
      </c>
      <c r="B4" s="14" t="s">
        <v>176</v>
      </c>
      <c r="C4" s="14">
        <v>89</v>
      </c>
      <c r="D4" s="18"/>
      <c r="F4" s="22" t="s">
        <v>178</v>
      </c>
      <c r="G4" s="16" t="s">
        <v>179</v>
      </c>
      <c r="H4" s="23">
        <v>102</v>
      </c>
      <c r="I4" s="21"/>
      <c r="K4" s="1" t="s">
        <v>171</v>
      </c>
      <c r="L4" s="24">
        <v>750</v>
      </c>
    </row>
    <row r="5" spans="1:12">
      <c r="A5" s="14" t="s">
        <v>180</v>
      </c>
      <c r="B5" s="14" t="s">
        <v>181</v>
      </c>
      <c r="C5" s="14">
        <v>95</v>
      </c>
      <c r="D5" s="18"/>
      <c r="F5" s="22" t="s">
        <v>182</v>
      </c>
      <c r="G5" s="16" t="s">
        <v>183</v>
      </c>
      <c r="H5" s="23">
        <v>303</v>
      </c>
      <c r="I5" s="21"/>
      <c r="K5" s="1" t="s">
        <v>177</v>
      </c>
      <c r="L5" s="24">
        <v>800</v>
      </c>
    </row>
    <row r="6" spans="1:12">
      <c r="A6" s="14" t="s">
        <v>184</v>
      </c>
      <c r="B6" s="14" t="s">
        <v>185</v>
      </c>
      <c r="C6" s="14">
        <v>87</v>
      </c>
      <c r="D6" s="18"/>
      <c r="F6" s="19" t="s">
        <v>186</v>
      </c>
      <c r="G6" s="16" t="s">
        <v>187</v>
      </c>
      <c r="H6" s="23">
        <v>125</v>
      </c>
      <c r="I6" s="21"/>
      <c r="J6" s="25"/>
      <c r="K6" s="1" t="s">
        <v>188</v>
      </c>
      <c r="L6" s="24">
        <v>850</v>
      </c>
    </row>
    <row r="7" spans="1:12">
      <c r="A7" s="14" t="s">
        <v>189</v>
      </c>
      <c r="B7" s="14" t="s">
        <v>181</v>
      </c>
      <c r="C7" s="14">
        <v>92</v>
      </c>
      <c r="D7" s="18"/>
      <c r="F7" s="22" t="s">
        <v>188</v>
      </c>
      <c r="G7" s="16" t="s">
        <v>172</v>
      </c>
      <c r="H7" s="23">
        <v>114</v>
      </c>
      <c r="I7" s="21"/>
      <c r="J7" s="25"/>
      <c r="K7" s="25"/>
    </row>
    <row r="8" spans="1:12">
      <c r="A8" s="14" t="s">
        <v>190</v>
      </c>
      <c r="B8" s="14" t="s">
        <v>191</v>
      </c>
      <c r="C8" s="14">
        <v>94</v>
      </c>
      <c r="D8" s="18"/>
      <c r="F8" s="22" t="s">
        <v>177</v>
      </c>
      <c r="G8" s="16" t="s">
        <v>192</v>
      </c>
      <c r="H8" s="26">
        <v>127</v>
      </c>
      <c r="I8" s="21"/>
      <c r="J8" s="25"/>
      <c r="K8" s="25"/>
    </row>
    <row r="9" spans="1:12">
      <c r="A9" s="14" t="s">
        <v>193</v>
      </c>
      <c r="B9" s="14" t="s">
        <v>181</v>
      </c>
      <c r="C9" s="14">
        <v>89</v>
      </c>
      <c r="D9" s="18"/>
      <c r="F9" s="19" t="s">
        <v>186</v>
      </c>
      <c r="G9" s="16" t="s">
        <v>187</v>
      </c>
      <c r="H9" s="27">
        <v>106</v>
      </c>
      <c r="I9" s="21"/>
      <c r="J9" s="25"/>
      <c r="K9" s="25"/>
    </row>
    <row r="10" spans="1:12">
      <c r="A10" s="14" t="s">
        <v>194</v>
      </c>
      <c r="B10" s="14" t="s">
        <v>195</v>
      </c>
      <c r="C10" s="14">
        <v>99</v>
      </c>
      <c r="D10" s="18"/>
      <c r="F10" s="22" t="s">
        <v>182</v>
      </c>
      <c r="G10" s="16" t="s">
        <v>187</v>
      </c>
      <c r="H10" s="2">
        <v>298</v>
      </c>
      <c r="I10" s="21"/>
    </row>
    <row r="11" spans="1:12">
      <c r="A11" s="14" t="s">
        <v>196</v>
      </c>
      <c r="B11" s="14" t="s">
        <v>191</v>
      </c>
      <c r="C11" s="14">
        <v>90</v>
      </c>
      <c r="D11" s="18"/>
      <c r="F11" s="22" t="s">
        <v>177</v>
      </c>
      <c r="G11" s="16" t="s">
        <v>197</v>
      </c>
      <c r="H11" s="2">
        <v>152</v>
      </c>
      <c r="I11" s="21"/>
    </row>
    <row r="13" spans="1:12">
      <c r="A13" s="8" t="s">
        <v>198</v>
      </c>
      <c r="B13" s="28"/>
      <c r="C13" s="29"/>
      <c r="D13" s="29"/>
      <c r="F13" s="11" t="s">
        <v>199</v>
      </c>
      <c r="G13" s="12"/>
    </row>
    <row r="14" spans="1:12">
      <c r="A14" s="1" t="s">
        <v>200</v>
      </c>
      <c r="B14" s="1" t="s">
        <v>201</v>
      </c>
      <c r="C14" s="1" t="s">
        <v>202</v>
      </c>
      <c r="D14" s="1" t="s">
        <v>203</v>
      </c>
      <c r="F14" s="1" t="s">
        <v>204</v>
      </c>
      <c r="G14" s="1" t="s">
        <v>205</v>
      </c>
      <c r="H14" s="1" t="s">
        <v>206</v>
      </c>
      <c r="I14" s="1" t="s">
        <v>207</v>
      </c>
    </row>
    <row r="15" spans="1:12">
      <c r="A15" s="1" t="s">
        <v>208</v>
      </c>
      <c r="B15" s="1" t="s">
        <v>209</v>
      </c>
      <c r="C15" s="30" t="s">
        <v>210</v>
      </c>
      <c r="D15" s="30">
        <v>75</v>
      </c>
      <c r="F15" s="1" t="s">
        <v>211</v>
      </c>
      <c r="G15" s="1">
        <v>90</v>
      </c>
      <c r="H15" s="1" t="s">
        <v>212</v>
      </c>
      <c r="I15" s="31">
        <v>114</v>
      </c>
    </row>
    <row r="16" spans="1:12">
      <c r="A16" s="1" t="s">
        <v>213</v>
      </c>
      <c r="B16" s="1" t="s">
        <v>209</v>
      </c>
      <c r="C16" s="30" t="s">
        <v>214</v>
      </c>
      <c r="D16" s="30">
        <v>128</v>
      </c>
      <c r="F16" s="1" t="s">
        <v>215</v>
      </c>
      <c r="G16" s="1">
        <v>89</v>
      </c>
      <c r="H16" s="1" t="s">
        <v>216</v>
      </c>
      <c r="I16" s="31">
        <v>106</v>
      </c>
    </row>
    <row r="17" spans="1:9">
      <c r="A17" s="1" t="s">
        <v>217</v>
      </c>
      <c r="B17" s="1" t="s">
        <v>218</v>
      </c>
      <c r="C17" s="30" t="s">
        <v>219</v>
      </c>
      <c r="D17" s="30">
        <v>142</v>
      </c>
      <c r="F17" s="1" t="s">
        <v>220</v>
      </c>
      <c r="G17" s="1">
        <v>78</v>
      </c>
      <c r="H17" s="1" t="s">
        <v>221</v>
      </c>
      <c r="I17" s="31">
        <v>102</v>
      </c>
    </row>
    <row r="18" spans="1:9">
      <c r="A18" s="1" t="s">
        <v>222</v>
      </c>
      <c r="B18" s="1" t="s">
        <v>218</v>
      </c>
      <c r="C18" s="30" t="s">
        <v>210</v>
      </c>
      <c r="D18" s="30">
        <v>135</v>
      </c>
      <c r="F18" s="1" t="s">
        <v>223</v>
      </c>
      <c r="G18" s="1">
        <v>92</v>
      </c>
      <c r="H18" s="1" t="s">
        <v>224</v>
      </c>
      <c r="I18" s="31">
        <v>116</v>
      </c>
    </row>
    <row r="19" spans="1:9">
      <c r="A19" s="1" t="s">
        <v>225</v>
      </c>
      <c r="B19" s="1" t="s">
        <v>209</v>
      </c>
      <c r="C19" s="30" t="s">
        <v>214</v>
      </c>
      <c r="D19" s="30">
        <v>132</v>
      </c>
      <c r="F19" s="1" t="s">
        <v>226</v>
      </c>
      <c r="G19" s="1">
        <v>89</v>
      </c>
      <c r="H19" s="1" t="s">
        <v>221</v>
      </c>
      <c r="I19" s="31">
        <v>113</v>
      </c>
    </row>
    <row r="20" spans="1:9">
      <c r="A20" s="1" t="s">
        <v>227</v>
      </c>
      <c r="B20" s="1" t="s">
        <v>209</v>
      </c>
      <c r="C20" s="30" t="s">
        <v>210</v>
      </c>
      <c r="D20" s="30">
        <v>110</v>
      </c>
      <c r="F20" s="1" t="s">
        <v>228</v>
      </c>
      <c r="G20" s="1">
        <v>92</v>
      </c>
      <c r="H20" s="1" t="s">
        <v>229</v>
      </c>
      <c r="I20" s="31">
        <v>109</v>
      </c>
    </row>
    <row r="21" spans="1:9">
      <c r="A21" s="1" t="s">
        <v>230</v>
      </c>
      <c r="B21" s="1" t="s">
        <v>209</v>
      </c>
      <c r="C21" s="30" t="s">
        <v>219</v>
      </c>
      <c r="D21" s="30">
        <v>175</v>
      </c>
      <c r="F21" s="1" t="s">
        <v>231</v>
      </c>
      <c r="G21" s="1">
        <v>88</v>
      </c>
      <c r="H21" s="1" t="s">
        <v>221</v>
      </c>
      <c r="I21" s="31">
        <v>112</v>
      </c>
    </row>
    <row r="22" spans="1:9">
      <c r="A22" s="30" t="s">
        <v>232</v>
      </c>
      <c r="B22" s="30" t="s">
        <v>218</v>
      </c>
      <c r="C22" s="30" t="s">
        <v>219</v>
      </c>
      <c r="D22" s="30">
        <v>163</v>
      </c>
      <c r="F22" s="1" t="s">
        <v>233</v>
      </c>
      <c r="G22" s="1">
        <v>94</v>
      </c>
      <c r="H22" s="1" t="s">
        <v>212</v>
      </c>
      <c r="I22" s="31">
        <v>113</v>
      </c>
    </row>
    <row r="23" spans="1:9">
      <c r="A23" s="30" t="s">
        <v>234</v>
      </c>
      <c r="B23" s="30" t="s">
        <v>218</v>
      </c>
      <c r="C23" s="30" t="s">
        <v>214</v>
      </c>
      <c r="D23" s="30">
        <v>142</v>
      </c>
    </row>
    <row r="24" spans="1:9">
      <c r="A24" s="30" t="s">
        <v>235</v>
      </c>
      <c r="B24" s="30" t="s">
        <v>209</v>
      </c>
      <c r="C24" s="30" t="s">
        <v>219</v>
      </c>
      <c r="D24" s="30">
        <v>172</v>
      </c>
      <c r="F24" s="1"/>
      <c r="G24" s="39" t="s">
        <v>236</v>
      </c>
      <c r="H24" s="39"/>
      <c r="I24" s="39"/>
    </row>
    <row r="25" spans="1:9">
      <c r="A25" s="40" t="s">
        <v>237</v>
      </c>
      <c r="B25" s="41"/>
      <c r="C25" s="42"/>
      <c r="D25" s="1"/>
      <c r="F25" s="1"/>
      <c r="G25" s="43"/>
      <c r="H25" s="43"/>
      <c r="I25" s="43"/>
    </row>
    <row r="27" spans="1:9">
      <c r="A27" s="8" t="s">
        <v>238</v>
      </c>
      <c r="B27" s="9"/>
    </row>
    <row r="28" spans="1:9">
      <c r="A28" s="1" t="s">
        <v>239</v>
      </c>
      <c r="B28" s="1" t="s">
        <v>240</v>
      </c>
    </row>
    <row r="29" spans="1:9">
      <c r="A29" s="1" t="s">
        <v>241</v>
      </c>
      <c r="B29" s="36">
        <v>1306</v>
      </c>
    </row>
    <row r="30" spans="1:9">
      <c r="A30" s="1" t="s">
        <v>242</v>
      </c>
      <c r="B30" s="36">
        <v>961.74</v>
      </c>
    </row>
    <row r="31" spans="1:9">
      <c r="A31" s="1" t="s">
        <v>243</v>
      </c>
      <c r="B31" s="36">
        <v>1329.64</v>
      </c>
      <c r="D31" s="34" t="s">
        <v>244</v>
      </c>
      <c r="E31" s="32"/>
    </row>
    <row r="32" spans="1:9">
      <c r="A32" s="1" t="s">
        <v>245</v>
      </c>
      <c r="B32" s="36">
        <v>194.58</v>
      </c>
      <c r="C32" s="34" t="s">
        <v>246</v>
      </c>
      <c r="D32" s="35"/>
      <c r="E32" s="33"/>
    </row>
  </sheetData>
  <mergeCells count="4">
    <mergeCell ref="K2:L2"/>
    <mergeCell ref="G24:I24"/>
    <mergeCell ref="A25:C25"/>
    <mergeCell ref="G25:I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7"/>
  <sheetViews>
    <sheetView workbookViewId="0">
      <selection sqref="A1:G1"/>
    </sheetView>
  </sheetViews>
  <sheetFormatPr defaultRowHeight="17"/>
  <cols>
    <col min="1" max="1" width="9.5" bestFit="1" customWidth="1"/>
    <col min="4" max="4" width="10.58203125" bestFit="1" customWidth="1"/>
    <col min="6" max="7" width="10.58203125" bestFit="1" customWidth="1"/>
  </cols>
  <sheetData>
    <row r="1" spans="1:7" ht="21">
      <c r="A1" s="44" t="s">
        <v>116</v>
      </c>
      <c r="B1" s="44"/>
      <c r="C1" s="44"/>
      <c r="D1" s="44"/>
      <c r="E1" s="44"/>
      <c r="F1" s="44"/>
      <c r="G1" s="44"/>
    </row>
    <row r="3" spans="1:7">
      <c r="A3" s="1" t="s">
        <v>57</v>
      </c>
      <c r="B3" s="1" t="s">
        <v>58</v>
      </c>
      <c r="C3" s="1" t="s">
        <v>59</v>
      </c>
      <c r="D3" s="1" t="s">
        <v>60</v>
      </c>
      <c r="E3" s="1" t="s">
        <v>61</v>
      </c>
      <c r="F3" s="1" t="s">
        <v>62</v>
      </c>
      <c r="G3" s="1" t="s">
        <v>63</v>
      </c>
    </row>
    <row r="4" spans="1:7">
      <c r="A4" s="1" t="s">
        <v>64</v>
      </c>
      <c r="B4" s="1" t="s">
        <v>65</v>
      </c>
      <c r="C4" s="1" t="s">
        <v>66</v>
      </c>
      <c r="D4" s="4">
        <v>2403600</v>
      </c>
      <c r="E4" s="4">
        <v>4</v>
      </c>
      <c r="F4" s="4">
        <v>135540</v>
      </c>
      <c r="G4" s="4">
        <f t="shared" ref="G4:G27" si="0">D4+F4</f>
        <v>2539140</v>
      </c>
    </row>
    <row r="5" spans="1:7">
      <c r="A5" s="1" t="s">
        <v>67</v>
      </c>
      <c r="B5" s="1" t="s">
        <v>68</v>
      </c>
      <c r="C5" s="1" t="s">
        <v>66</v>
      </c>
      <c r="D5" s="4">
        <v>1985600</v>
      </c>
      <c r="E5" s="4">
        <v>2</v>
      </c>
      <c r="F5" s="4">
        <v>147840</v>
      </c>
      <c r="G5" s="4">
        <f t="shared" si="0"/>
        <v>2133440</v>
      </c>
    </row>
    <row r="6" spans="1:7">
      <c r="A6" s="1" t="s">
        <v>69</v>
      </c>
      <c r="B6" s="1" t="s">
        <v>70</v>
      </c>
      <c r="C6" s="1" t="s">
        <v>66</v>
      </c>
      <c r="D6" s="4">
        <v>2395600</v>
      </c>
      <c r="E6" s="4">
        <v>4</v>
      </c>
      <c r="F6" s="4">
        <v>134340</v>
      </c>
      <c r="G6" s="4">
        <f t="shared" si="0"/>
        <v>2529940</v>
      </c>
    </row>
    <row r="7" spans="1:7">
      <c r="A7" s="1" t="s">
        <v>71</v>
      </c>
      <c r="B7" s="1" t="s">
        <v>72</v>
      </c>
      <c r="C7" s="1" t="s">
        <v>73</v>
      </c>
      <c r="D7" s="4">
        <v>2403600</v>
      </c>
      <c r="E7" s="4">
        <v>4</v>
      </c>
      <c r="F7" s="4">
        <v>135540</v>
      </c>
      <c r="G7" s="4">
        <f t="shared" si="0"/>
        <v>2539140</v>
      </c>
    </row>
    <row r="8" spans="1:7">
      <c r="A8" s="1" t="s">
        <v>74</v>
      </c>
      <c r="B8" s="1" t="s">
        <v>75</v>
      </c>
      <c r="C8" s="1" t="s">
        <v>76</v>
      </c>
      <c r="D8" s="4">
        <v>1905890</v>
      </c>
      <c r="E8" s="4">
        <v>1</v>
      </c>
      <c r="F8" s="4">
        <v>358835</v>
      </c>
      <c r="G8" s="4">
        <f t="shared" si="0"/>
        <v>2264725</v>
      </c>
    </row>
    <row r="9" spans="1:7">
      <c r="A9" s="1" t="s">
        <v>77</v>
      </c>
      <c r="B9" s="1" t="s">
        <v>78</v>
      </c>
      <c r="C9" s="1" t="s">
        <v>73</v>
      </c>
      <c r="D9" s="4">
        <v>2256000</v>
      </c>
      <c r="E9" s="4">
        <v>3</v>
      </c>
      <c r="F9" s="4">
        <v>188400</v>
      </c>
      <c r="G9" s="4">
        <f t="shared" si="0"/>
        <v>2444400</v>
      </c>
    </row>
    <row r="10" spans="1:7">
      <c r="A10" s="1" t="s">
        <v>79</v>
      </c>
      <c r="B10" s="1" t="s">
        <v>80</v>
      </c>
      <c r="C10" s="1" t="s">
        <v>81</v>
      </c>
      <c r="D10" s="4">
        <v>2735000</v>
      </c>
      <c r="E10" s="4">
        <v>4</v>
      </c>
      <c r="F10" s="4">
        <v>185250</v>
      </c>
      <c r="G10" s="4">
        <f t="shared" si="0"/>
        <v>2920250</v>
      </c>
    </row>
    <row r="11" spans="1:7">
      <c r="A11" s="1" t="s">
        <v>82</v>
      </c>
      <c r="B11" s="1" t="s">
        <v>83</v>
      </c>
      <c r="C11" s="1" t="s">
        <v>73</v>
      </c>
      <c r="D11" s="4">
        <v>1985200</v>
      </c>
      <c r="E11" s="4">
        <v>3</v>
      </c>
      <c r="F11" s="4">
        <v>147780</v>
      </c>
      <c r="G11" s="4">
        <f t="shared" si="0"/>
        <v>2132980</v>
      </c>
    </row>
    <row r="12" spans="1:7">
      <c r="A12" s="1" t="s">
        <v>84</v>
      </c>
      <c r="B12" s="1" t="s">
        <v>85</v>
      </c>
      <c r="C12" s="1" t="s">
        <v>81</v>
      </c>
      <c r="D12" s="4">
        <v>2653200</v>
      </c>
      <c r="E12" s="4">
        <v>5</v>
      </c>
      <c r="F12" s="4">
        <v>172980</v>
      </c>
      <c r="G12" s="4">
        <f t="shared" si="0"/>
        <v>2826180</v>
      </c>
    </row>
    <row r="13" spans="1:7">
      <c r="A13" s="1" t="s">
        <v>86</v>
      </c>
      <c r="B13" s="1" t="s">
        <v>87</v>
      </c>
      <c r="C13" s="1" t="s">
        <v>73</v>
      </c>
      <c r="D13" s="4">
        <v>2650000</v>
      </c>
      <c r="E13" s="4">
        <v>5</v>
      </c>
      <c r="F13" s="4">
        <v>172500</v>
      </c>
      <c r="G13" s="4">
        <f t="shared" si="0"/>
        <v>2822500</v>
      </c>
    </row>
    <row r="14" spans="1:7">
      <c r="A14" s="1" t="s">
        <v>88</v>
      </c>
      <c r="B14" s="1" t="s">
        <v>89</v>
      </c>
      <c r="C14" s="1" t="s">
        <v>73</v>
      </c>
      <c r="D14" s="4">
        <v>2498500</v>
      </c>
      <c r="E14" s="4">
        <v>5</v>
      </c>
      <c r="F14" s="4">
        <v>149775</v>
      </c>
      <c r="G14" s="4">
        <f t="shared" si="0"/>
        <v>2648275</v>
      </c>
    </row>
    <row r="15" spans="1:7">
      <c r="A15" s="1" t="s">
        <v>90</v>
      </c>
      <c r="B15" s="1" t="s">
        <v>91</v>
      </c>
      <c r="C15" s="1" t="s">
        <v>76</v>
      </c>
      <c r="D15" s="4">
        <v>2125600</v>
      </c>
      <c r="E15" s="4">
        <v>3</v>
      </c>
      <c r="F15" s="4">
        <v>168840</v>
      </c>
      <c r="G15" s="4">
        <f t="shared" si="0"/>
        <v>2294440</v>
      </c>
    </row>
    <row r="16" spans="1:7">
      <c r="A16" s="1" t="s">
        <v>92</v>
      </c>
      <c r="B16" s="1" t="s">
        <v>93</v>
      </c>
      <c r="C16" s="1" t="s">
        <v>76</v>
      </c>
      <c r="D16" s="4">
        <v>2028400</v>
      </c>
      <c r="E16" s="4">
        <v>2</v>
      </c>
      <c r="F16" s="4">
        <v>154260</v>
      </c>
      <c r="G16" s="4">
        <f t="shared" si="0"/>
        <v>2182660</v>
      </c>
    </row>
    <row r="17" spans="1:7">
      <c r="A17" s="1" t="s">
        <v>94</v>
      </c>
      <c r="B17" s="1" t="s">
        <v>95</v>
      </c>
      <c r="C17" s="1" t="s">
        <v>73</v>
      </c>
      <c r="D17" s="4">
        <v>2120000</v>
      </c>
      <c r="E17" s="4">
        <v>3</v>
      </c>
      <c r="F17" s="4">
        <v>168000</v>
      </c>
      <c r="G17" s="4">
        <f t="shared" si="0"/>
        <v>2288000</v>
      </c>
    </row>
    <row r="18" spans="1:7">
      <c r="A18" s="1" t="s">
        <v>96</v>
      </c>
      <c r="B18" s="1" t="s">
        <v>97</v>
      </c>
      <c r="C18" s="1" t="s">
        <v>73</v>
      </c>
      <c r="D18" s="4">
        <v>2565900</v>
      </c>
      <c r="E18" s="4">
        <v>4</v>
      </c>
      <c r="F18" s="4">
        <v>159885</v>
      </c>
      <c r="G18" s="4">
        <f t="shared" si="0"/>
        <v>2725785</v>
      </c>
    </row>
    <row r="19" spans="1:7">
      <c r="A19" s="1" t="s">
        <v>98</v>
      </c>
      <c r="B19" s="1" t="s">
        <v>99</v>
      </c>
      <c r="C19" s="1" t="s">
        <v>76</v>
      </c>
      <c r="D19" s="4">
        <v>1758900</v>
      </c>
      <c r="E19" s="4">
        <v>1</v>
      </c>
      <c r="F19" s="4">
        <v>113835</v>
      </c>
      <c r="G19" s="4">
        <f t="shared" si="0"/>
        <v>1872735</v>
      </c>
    </row>
    <row r="20" spans="1:7">
      <c r="A20" s="1" t="s">
        <v>100</v>
      </c>
      <c r="B20" s="1" t="s">
        <v>101</v>
      </c>
      <c r="C20" s="1" t="s">
        <v>81</v>
      </c>
      <c r="D20" s="4">
        <v>1926500</v>
      </c>
      <c r="E20" s="4">
        <v>2</v>
      </c>
      <c r="F20" s="4">
        <v>138975</v>
      </c>
      <c r="G20" s="4">
        <f t="shared" si="0"/>
        <v>2065475</v>
      </c>
    </row>
    <row r="21" spans="1:7">
      <c r="A21" s="1" t="s">
        <v>102</v>
      </c>
      <c r="B21" s="1" t="s">
        <v>103</v>
      </c>
      <c r="C21" s="1" t="s">
        <v>81</v>
      </c>
      <c r="D21" s="4">
        <v>1915600</v>
      </c>
      <c r="E21" s="4">
        <v>2</v>
      </c>
      <c r="F21" s="4">
        <v>137340</v>
      </c>
      <c r="G21" s="4">
        <f t="shared" si="0"/>
        <v>2052940</v>
      </c>
    </row>
    <row r="22" spans="1:7">
      <c r="A22" s="1" t="s">
        <v>104</v>
      </c>
      <c r="B22" s="1" t="s">
        <v>105</v>
      </c>
      <c r="C22" s="1" t="s">
        <v>81</v>
      </c>
      <c r="D22" s="4">
        <v>1897800</v>
      </c>
      <c r="E22" s="4">
        <v>1</v>
      </c>
      <c r="F22" s="4">
        <v>134670</v>
      </c>
      <c r="G22" s="4">
        <f t="shared" si="0"/>
        <v>2032470</v>
      </c>
    </row>
    <row r="23" spans="1:7">
      <c r="A23" s="1" t="s">
        <v>106</v>
      </c>
      <c r="B23" s="1" t="s">
        <v>107</v>
      </c>
      <c r="C23" s="1" t="s">
        <v>81</v>
      </c>
      <c r="D23" s="4">
        <v>1945200</v>
      </c>
      <c r="E23" s="4">
        <v>2</v>
      </c>
      <c r="F23" s="4">
        <v>141780</v>
      </c>
      <c r="G23" s="4">
        <f t="shared" si="0"/>
        <v>2086980</v>
      </c>
    </row>
    <row r="24" spans="1:7">
      <c r="A24" s="1" t="s">
        <v>108</v>
      </c>
      <c r="B24" s="1" t="s">
        <v>109</v>
      </c>
      <c r="C24" s="1" t="s">
        <v>81</v>
      </c>
      <c r="D24" s="4">
        <v>1912500</v>
      </c>
      <c r="E24" s="4">
        <v>2</v>
      </c>
      <c r="F24" s="4">
        <v>136875</v>
      </c>
      <c r="G24" s="4">
        <f t="shared" si="0"/>
        <v>2049375</v>
      </c>
    </row>
    <row r="25" spans="1:7">
      <c r="A25" s="1" t="s">
        <v>110</v>
      </c>
      <c r="B25" s="1" t="s">
        <v>111</v>
      </c>
      <c r="C25" s="1" t="s">
        <v>81</v>
      </c>
      <c r="D25" s="4">
        <v>1890000</v>
      </c>
      <c r="E25" s="4">
        <v>1</v>
      </c>
      <c r="F25" s="4">
        <v>133500</v>
      </c>
      <c r="G25" s="4">
        <f t="shared" si="0"/>
        <v>2023500</v>
      </c>
    </row>
    <row r="26" spans="1:7">
      <c r="A26" s="1" t="s">
        <v>112</v>
      </c>
      <c r="B26" s="1" t="s">
        <v>113</v>
      </c>
      <c r="C26" s="1" t="s">
        <v>76</v>
      </c>
      <c r="D26" s="4">
        <v>2559000</v>
      </c>
      <c r="E26" s="4">
        <v>4</v>
      </c>
      <c r="F26" s="4">
        <v>158850</v>
      </c>
      <c r="G26" s="4">
        <f t="shared" si="0"/>
        <v>2717850</v>
      </c>
    </row>
    <row r="27" spans="1:7">
      <c r="A27" s="1" t="s">
        <v>114</v>
      </c>
      <c r="B27" s="1" t="s">
        <v>115</v>
      </c>
      <c r="C27" s="1" t="s">
        <v>73</v>
      </c>
      <c r="D27" s="4">
        <v>2058200</v>
      </c>
      <c r="E27" s="4">
        <v>3</v>
      </c>
      <c r="F27" s="4">
        <v>158730</v>
      </c>
      <c r="G27" s="4">
        <f t="shared" si="0"/>
        <v>2216930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1"/>
  <sheetViews>
    <sheetView workbookViewId="0"/>
  </sheetViews>
  <sheetFormatPr defaultRowHeight="17"/>
  <cols>
    <col min="1" max="1" width="17" customWidth="1"/>
    <col min="2" max="2" width="11.4140625" customWidth="1"/>
    <col min="3" max="3" width="12.33203125" customWidth="1"/>
    <col min="4" max="4" width="9.58203125" bestFit="1" customWidth="1"/>
    <col min="5" max="5" width="8.6640625" customWidth="1"/>
    <col min="6" max="6" width="13.5" customWidth="1"/>
    <col min="7" max="7" width="10.58203125" bestFit="1" customWidth="1"/>
    <col min="8" max="8" width="12.5" bestFit="1" customWidth="1"/>
    <col min="9" max="9" width="10.58203125" bestFit="1" customWidth="1"/>
    <col min="10" max="10" width="17.1640625" bestFit="1" customWidth="1"/>
    <col min="11" max="11" width="15.1640625" bestFit="1" customWidth="1"/>
  </cols>
  <sheetData>
    <row r="1" spans="1:8">
      <c r="A1" t="s">
        <v>156</v>
      </c>
    </row>
    <row r="3" spans="1:8">
      <c r="A3" s="1" t="s">
        <v>117</v>
      </c>
      <c r="B3" s="1" t="s">
        <v>118</v>
      </c>
      <c r="C3" s="1" t="s">
        <v>119</v>
      </c>
      <c r="D3" s="1" t="s">
        <v>120</v>
      </c>
      <c r="E3" s="1" t="s">
        <v>121</v>
      </c>
      <c r="F3" s="1" t="s">
        <v>122</v>
      </c>
      <c r="G3" s="1" t="s">
        <v>123</v>
      </c>
      <c r="H3" s="1" t="s">
        <v>124</v>
      </c>
    </row>
    <row r="4" spans="1:8">
      <c r="A4" s="1" t="s">
        <v>125</v>
      </c>
      <c r="B4" s="1" t="s">
        <v>126</v>
      </c>
      <c r="C4" s="1" t="s">
        <v>127</v>
      </c>
      <c r="D4" s="5">
        <v>2300000</v>
      </c>
      <c r="E4" s="5">
        <v>228000</v>
      </c>
      <c r="F4" s="6">
        <v>2</v>
      </c>
      <c r="G4" s="5">
        <v>90000</v>
      </c>
      <c r="H4" s="5">
        <v>100000</v>
      </c>
    </row>
    <row r="5" spans="1:8">
      <c r="A5" s="1" t="s">
        <v>128</v>
      </c>
      <c r="B5" s="1" t="s">
        <v>129</v>
      </c>
      <c r="C5" s="1" t="s">
        <v>130</v>
      </c>
      <c r="D5" s="5">
        <v>3300000</v>
      </c>
      <c r="E5" s="5">
        <v>460000</v>
      </c>
      <c r="F5" s="6">
        <v>3</v>
      </c>
      <c r="G5" s="5">
        <v>120000</v>
      </c>
      <c r="H5" s="5">
        <v>120000</v>
      </c>
    </row>
    <row r="6" spans="1:8">
      <c r="A6" s="1" t="s">
        <v>131</v>
      </c>
      <c r="B6" s="1" t="s">
        <v>132</v>
      </c>
      <c r="C6" s="1" t="s">
        <v>133</v>
      </c>
      <c r="D6" s="5">
        <v>3700000</v>
      </c>
      <c r="E6" s="5">
        <v>280000</v>
      </c>
      <c r="F6" s="6" t="s">
        <v>134</v>
      </c>
      <c r="G6" s="5">
        <v>90000</v>
      </c>
      <c r="H6" s="5">
        <v>60000</v>
      </c>
    </row>
    <row r="7" spans="1:8">
      <c r="A7" s="1" t="s">
        <v>135</v>
      </c>
      <c r="B7" s="1" t="s">
        <v>136</v>
      </c>
      <c r="C7" s="1" t="s">
        <v>137</v>
      </c>
      <c r="D7" s="5">
        <v>2300000</v>
      </c>
      <c r="E7" s="5">
        <v>240000</v>
      </c>
      <c r="F7" s="6">
        <v>4</v>
      </c>
      <c r="G7" s="5">
        <v>150000</v>
      </c>
      <c r="H7" s="5">
        <v>60000</v>
      </c>
    </row>
    <row r="8" spans="1:8">
      <c r="A8" s="1" t="s">
        <v>138</v>
      </c>
      <c r="B8" s="1" t="s">
        <v>129</v>
      </c>
      <c r="C8" s="1" t="s">
        <v>139</v>
      </c>
      <c r="D8" s="5">
        <v>2900000</v>
      </c>
      <c r="E8" s="5">
        <v>280000</v>
      </c>
      <c r="F8" s="6">
        <v>2</v>
      </c>
      <c r="G8" s="5">
        <v>60000</v>
      </c>
      <c r="H8" s="5">
        <v>130000</v>
      </c>
    </row>
    <row r="9" spans="1:8">
      <c r="A9" s="1" t="s">
        <v>140</v>
      </c>
      <c r="B9" s="1" t="s">
        <v>141</v>
      </c>
      <c r="C9" s="1" t="s">
        <v>142</v>
      </c>
      <c r="D9" s="5">
        <v>3600000</v>
      </c>
      <c r="E9" s="5">
        <v>200000</v>
      </c>
      <c r="F9" s="6" t="s">
        <v>134</v>
      </c>
      <c r="G9" s="5">
        <v>140000</v>
      </c>
      <c r="H9" s="5">
        <v>50000</v>
      </c>
    </row>
    <row r="10" spans="1:8">
      <c r="A10" s="1" t="s">
        <v>143</v>
      </c>
      <c r="B10" s="1" t="s">
        <v>126</v>
      </c>
      <c r="C10" s="1" t="s">
        <v>133</v>
      </c>
      <c r="D10" s="5">
        <v>2200000</v>
      </c>
      <c r="E10" s="5">
        <v>446000</v>
      </c>
      <c r="F10" s="6">
        <v>5</v>
      </c>
      <c r="G10" s="5">
        <v>100000</v>
      </c>
      <c r="H10" s="5">
        <v>50000</v>
      </c>
    </row>
    <row r="11" spans="1:8">
      <c r="A11" s="1" t="s">
        <v>144</v>
      </c>
      <c r="B11" s="1" t="s">
        <v>136</v>
      </c>
      <c r="C11" s="1" t="s">
        <v>127</v>
      </c>
      <c r="D11" s="5">
        <v>3600000</v>
      </c>
      <c r="E11" s="5">
        <v>228000</v>
      </c>
      <c r="F11" s="6">
        <v>2</v>
      </c>
      <c r="G11" s="5">
        <v>150000</v>
      </c>
      <c r="H11" s="5">
        <v>80000</v>
      </c>
    </row>
    <row r="12" spans="1:8">
      <c r="A12" s="1" t="s">
        <v>145</v>
      </c>
      <c r="B12" s="1" t="s">
        <v>126</v>
      </c>
      <c r="C12" s="1" t="s">
        <v>127</v>
      </c>
      <c r="D12" s="5">
        <v>2900000</v>
      </c>
      <c r="E12" s="5">
        <v>260000</v>
      </c>
      <c r="F12" s="6">
        <v>6</v>
      </c>
      <c r="G12" s="5">
        <v>90000</v>
      </c>
      <c r="H12" s="5">
        <v>70000</v>
      </c>
    </row>
    <row r="13" spans="1:8">
      <c r="A13" s="1" t="s">
        <v>146</v>
      </c>
      <c r="B13" s="1" t="s">
        <v>136</v>
      </c>
      <c r="C13" s="1" t="s">
        <v>142</v>
      </c>
      <c r="D13" s="5">
        <v>1600000</v>
      </c>
      <c r="E13" s="5">
        <v>246000</v>
      </c>
      <c r="F13" s="6" t="s">
        <v>134</v>
      </c>
      <c r="G13" s="5">
        <v>150000</v>
      </c>
      <c r="H13" s="5">
        <v>90000</v>
      </c>
    </row>
    <row r="14" spans="1:8">
      <c r="A14" s="1" t="s">
        <v>147</v>
      </c>
      <c r="B14" s="1" t="s">
        <v>126</v>
      </c>
      <c r="C14" s="1" t="s">
        <v>142</v>
      </c>
      <c r="D14" s="5">
        <v>2000000</v>
      </c>
      <c r="E14" s="5">
        <v>228000</v>
      </c>
      <c r="F14" s="6">
        <v>5</v>
      </c>
      <c r="G14" s="5">
        <v>70000</v>
      </c>
      <c r="H14" s="5">
        <v>50000</v>
      </c>
    </row>
    <row r="15" spans="1:8">
      <c r="A15" s="1" t="s">
        <v>148</v>
      </c>
      <c r="B15" s="1" t="s">
        <v>136</v>
      </c>
      <c r="C15" s="1" t="s">
        <v>142</v>
      </c>
      <c r="D15" s="5">
        <v>1700000</v>
      </c>
      <c r="E15" s="5">
        <v>440000</v>
      </c>
      <c r="F15" s="6">
        <v>3</v>
      </c>
      <c r="G15" s="5">
        <v>90000</v>
      </c>
      <c r="H15" s="5">
        <v>130000</v>
      </c>
    </row>
    <row r="16" spans="1:8">
      <c r="A16" s="1" t="s">
        <v>149</v>
      </c>
      <c r="B16" s="1" t="s">
        <v>136</v>
      </c>
      <c r="C16" s="1" t="s">
        <v>127</v>
      </c>
      <c r="D16" s="5">
        <v>3600000</v>
      </c>
      <c r="E16" s="5">
        <v>428000</v>
      </c>
      <c r="F16" s="6">
        <v>2</v>
      </c>
      <c r="G16" s="5">
        <v>90000</v>
      </c>
      <c r="H16" s="7">
        <v>110000</v>
      </c>
    </row>
    <row r="17" spans="1:8">
      <c r="A17" s="1" t="s">
        <v>150</v>
      </c>
      <c r="B17" s="1" t="s">
        <v>136</v>
      </c>
      <c r="C17" s="1" t="s">
        <v>137</v>
      </c>
      <c r="D17" s="5">
        <v>1600000</v>
      </c>
      <c r="E17" s="5">
        <v>228000</v>
      </c>
      <c r="F17" s="6" t="s">
        <v>151</v>
      </c>
      <c r="G17" s="5">
        <v>90000</v>
      </c>
      <c r="H17" s="5">
        <v>120000</v>
      </c>
    </row>
    <row r="18" spans="1:8">
      <c r="A18" s="1" t="s">
        <v>152</v>
      </c>
      <c r="B18" s="1" t="s">
        <v>132</v>
      </c>
      <c r="C18" s="1" t="s">
        <v>142</v>
      </c>
      <c r="D18" s="5">
        <v>3300000</v>
      </c>
      <c r="E18" s="5">
        <v>220000</v>
      </c>
      <c r="F18" s="6">
        <v>8</v>
      </c>
      <c r="G18" s="5">
        <v>150000</v>
      </c>
      <c r="H18" s="5">
        <v>130000</v>
      </c>
    </row>
    <row r="19" spans="1:8">
      <c r="A19" s="1" t="s">
        <v>153</v>
      </c>
      <c r="B19" s="1" t="s">
        <v>136</v>
      </c>
      <c r="C19" s="1" t="s">
        <v>133</v>
      </c>
      <c r="D19" s="5">
        <v>2500000</v>
      </c>
      <c r="E19" s="5">
        <v>200000</v>
      </c>
      <c r="F19" s="6">
        <v>7</v>
      </c>
      <c r="G19" s="5">
        <v>60000</v>
      </c>
      <c r="H19" s="5">
        <v>100000</v>
      </c>
    </row>
    <row r="20" spans="1:8">
      <c r="A20" s="1" t="s">
        <v>154</v>
      </c>
      <c r="B20" s="1" t="s">
        <v>129</v>
      </c>
      <c r="C20" s="1" t="s">
        <v>137</v>
      </c>
      <c r="D20" s="5">
        <v>1900000</v>
      </c>
      <c r="E20" s="5">
        <v>270000</v>
      </c>
      <c r="F20" s="6" t="s">
        <v>134</v>
      </c>
      <c r="G20" s="5">
        <v>100000</v>
      </c>
      <c r="H20" s="5">
        <v>100000</v>
      </c>
    </row>
    <row r="21" spans="1:8">
      <c r="A21" s="1" t="s">
        <v>155</v>
      </c>
      <c r="B21" s="1" t="s">
        <v>129</v>
      </c>
      <c r="C21" s="1" t="s">
        <v>137</v>
      </c>
      <c r="D21" s="5">
        <v>2800000</v>
      </c>
      <c r="E21" s="5">
        <v>420000</v>
      </c>
      <c r="F21" s="6">
        <v>3</v>
      </c>
      <c r="G21" s="5">
        <v>150000</v>
      </c>
      <c r="H21" s="5">
        <v>60000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12"/>
  <sheetViews>
    <sheetView workbookViewId="0">
      <selection sqref="A1:E1"/>
    </sheetView>
  </sheetViews>
  <sheetFormatPr defaultRowHeight="17"/>
  <cols>
    <col min="4" max="4" width="10.4140625" bestFit="1" customWidth="1"/>
  </cols>
  <sheetData>
    <row r="1" spans="1:5" ht="21">
      <c r="A1" s="44" t="s">
        <v>44</v>
      </c>
      <c r="B1" s="44"/>
      <c r="C1" s="44"/>
      <c r="D1" s="44"/>
      <c r="E1" s="44"/>
    </row>
    <row r="3" spans="1:5">
      <c r="A3" s="1" t="s">
        <v>30</v>
      </c>
      <c r="B3" s="1" t="s">
        <v>34</v>
      </c>
      <c r="C3" s="1" t="s">
        <v>31</v>
      </c>
      <c r="D3" s="1" t="s">
        <v>32</v>
      </c>
      <c r="E3" s="1" t="s">
        <v>33</v>
      </c>
    </row>
    <row r="4" spans="1:5">
      <c r="A4" s="1" t="s">
        <v>35</v>
      </c>
      <c r="B4" s="2">
        <v>1995</v>
      </c>
      <c r="C4" s="2">
        <v>199500</v>
      </c>
      <c r="D4" s="2">
        <v>59850</v>
      </c>
      <c r="E4" s="2"/>
    </row>
    <row r="5" spans="1:5">
      <c r="A5" s="1" t="s">
        <v>36</v>
      </c>
      <c r="B5" s="2">
        <v>1000</v>
      </c>
      <c r="C5" s="2">
        <v>40000</v>
      </c>
      <c r="D5" s="2">
        <v>12000</v>
      </c>
      <c r="E5" s="2"/>
    </row>
    <row r="6" spans="1:5">
      <c r="A6" s="1" t="s">
        <v>37</v>
      </c>
      <c r="B6" s="2">
        <v>980</v>
      </c>
      <c r="C6" s="2">
        <v>39200</v>
      </c>
      <c r="D6" s="2">
        <v>11760</v>
      </c>
      <c r="E6" s="2"/>
    </row>
    <row r="7" spans="1:5">
      <c r="A7" s="1" t="s">
        <v>38</v>
      </c>
      <c r="B7" s="2">
        <v>1150</v>
      </c>
      <c r="C7" s="2">
        <v>80500</v>
      </c>
      <c r="D7" s="2">
        <v>24150</v>
      </c>
      <c r="E7" s="2"/>
    </row>
    <row r="8" spans="1:5">
      <c r="A8" s="1" t="s">
        <v>39</v>
      </c>
      <c r="B8" s="2">
        <v>1500</v>
      </c>
      <c r="C8" s="2">
        <v>105000</v>
      </c>
      <c r="D8" s="2">
        <v>31500</v>
      </c>
      <c r="E8" s="2"/>
    </row>
    <row r="9" spans="1:5">
      <c r="A9" s="1" t="s">
        <v>40</v>
      </c>
      <c r="B9" s="2">
        <v>2000</v>
      </c>
      <c r="C9" s="2">
        <v>200000</v>
      </c>
      <c r="D9" s="2">
        <v>60000</v>
      </c>
      <c r="E9" s="2"/>
    </row>
    <row r="10" spans="1:5">
      <c r="A10" s="1" t="s">
        <v>41</v>
      </c>
      <c r="B10" s="2">
        <v>2500</v>
      </c>
      <c r="C10" s="2">
        <v>250000</v>
      </c>
      <c r="D10" s="2">
        <v>75000</v>
      </c>
      <c r="E10" s="2"/>
    </row>
    <row r="11" spans="1:5">
      <c r="A11" s="1" t="s">
        <v>42</v>
      </c>
      <c r="B11" s="2">
        <v>2150</v>
      </c>
      <c r="C11" s="2">
        <v>215000</v>
      </c>
      <c r="D11" s="2">
        <v>64500</v>
      </c>
      <c r="E11" s="2"/>
    </row>
    <row r="12" spans="1:5">
      <c r="A12" s="1" t="s">
        <v>43</v>
      </c>
      <c r="B12" s="2">
        <v>1890</v>
      </c>
      <c r="C12" s="2">
        <v>189000</v>
      </c>
      <c r="D12" s="2">
        <v>56700</v>
      </c>
      <c r="E12" s="2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9"/>
  <sheetViews>
    <sheetView workbookViewId="0">
      <selection activeCell="J9" sqref="J9"/>
    </sheetView>
  </sheetViews>
  <sheetFormatPr defaultRowHeight="17"/>
  <cols>
    <col min="1" max="1" width="10.4140625" bestFit="1" customWidth="1"/>
    <col min="5" max="5" width="9.08203125" bestFit="1" customWidth="1"/>
  </cols>
  <sheetData>
    <row r="1" spans="1:5" ht="21">
      <c r="A1" s="44" t="s">
        <v>56</v>
      </c>
      <c r="B1" s="44"/>
      <c r="C1" s="44"/>
      <c r="D1" s="44"/>
      <c r="E1" s="44"/>
    </row>
    <row r="3" spans="1:5">
      <c r="A3" s="1" t="s">
        <v>45</v>
      </c>
      <c r="B3" s="1" t="s">
        <v>51</v>
      </c>
      <c r="C3" s="1" t="s">
        <v>52</v>
      </c>
      <c r="D3" s="1" t="s">
        <v>53</v>
      </c>
      <c r="E3" s="1" t="s">
        <v>55</v>
      </c>
    </row>
    <row r="4" spans="1:5">
      <c r="A4" s="1" t="s">
        <v>48</v>
      </c>
      <c r="B4" s="4">
        <v>4791</v>
      </c>
      <c r="C4" s="4">
        <v>1558</v>
      </c>
      <c r="D4" s="4">
        <v>3233</v>
      </c>
      <c r="E4" s="3">
        <v>0.32500000000000001</v>
      </c>
    </row>
    <row r="5" spans="1:5">
      <c r="A5" s="1" t="s">
        <v>47</v>
      </c>
      <c r="B5" s="4">
        <v>9615</v>
      </c>
      <c r="C5" s="4">
        <v>3220</v>
      </c>
      <c r="D5" s="4">
        <v>6395</v>
      </c>
      <c r="E5" s="3">
        <v>0.33500000000000002</v>
      </c>
    </row>
    <row r="6" spans="1:5">
      <c r="A6" s="1" t="s">
        <v>46</v>
      </c>
      <c r="B6" s="4">
        <v>5936</v>
      </c>
      <c r="C6" s="4">
        <v>2325</v>
      </c>
      <c r="D6" s="4">
        <v>3611</v>
      </c>
      <c r="E6" s="3">
        <v>0.39200000000000002</v>
      </c>
    </row>
    <row r="7" spans="1:5">
      <c r="A7" s="1" t="s">
        <v>49</v>
      </c>
      <c r="B7" s="4">
        <v>9819</v>
      </c>
      <c r="C7" s="4">
        <v>4589</v>
      </c>
      <c r="D7" s="4">
        <v>5230</v>
      </c>
      <c r="E7" s="3">
        <v>0.46700000000000003</v>
      </c>
    </row>
    <row r="8" spans="1:5">
      <c r="A8" s="1" t="s">
        <v>50</v>
      </c>
      <c r="B8" s="4">
        <v>8549</v>
      </c>
      <c r="C8" s="4">
        <v>1007</v>
      </c>
      <c r="D8" s="4">
        <v>7542</v>
      </c>
      <c r="E8" s="3">
        <v>0.11799999999999999</v>
      </c>
    </row>
    <row r="9" spans="1:5">
      <c r="A9" s="1" t="s">
        <v>54</v>
      </c>
      <c r="B9" s="4">
        <v>6260</v>
      </c>
      <c r="C9" s="4">
        <v>4126</v>
      </c>
      <c r="D9" s="4">
        <v>2134</v>
      </c>
      <c r="E9" s="3">
        <v>0.65900000000000003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2022-05-16T11:39:34Z</dcterms:created>
  <dcterms:modified xsi:type="dcterms:W3CDTF">2023-03-16T10:44:08Z</dcterms:modified>
</cp:coreProperties>
</file>