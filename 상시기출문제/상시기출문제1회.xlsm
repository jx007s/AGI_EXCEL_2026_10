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영진(2026년)\2급\기본서\2026컴활2급\상시기출문제\"/>
    </mc:Choice>
  </mc:AlternateContent>
  <xr:revisionPtr revIDLastSave="0" documentId="13_ncr:1_{59EF2F4F-5D60-4398-9222-DD0651B55C80}" xr6:coauthVersionLast="47" xr6:coauthVersionMax="47" xr10:uidLastSave="{00000000-0000-0000-0000-000000000000}"/>
  <bookViews>
    <workbookView xWindow="14025" yWindow="1275" windowWidth="14580" windowHeight="14175" tabRatio="899" xr2:uid="{925A5ADD-9389-43EC-B0B6-4A00A02F06B1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8" r:id="rId5"/>
    <sheet name="분석작업-2" sheetId="5" r:id="rId6"/>
    <sheet name="매크로작업" sheetId="6" r:id="rId7"/>
    <sheet name="차트작업" sheetId="10" r:id="rId8"/>
  </sheets>
  <definedNames>
    <definedName name="_xlnm._FilterDatabase" localSheetId="2" hidden="1">'기본작업-3'!$A$3:$I$18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" i="2" l="1"/>
</calcChain>
</file>

<file path=xl/sharedStrings.xml><?xml version="1.0" encoding="utf-8"?>
<sst xmlns="http://schemas.openxmlformats.org/spreadsheetml/2006/main" count="330" uniqueCount="241">
  <si>
    <t>합계</t>
    <phoneticPr fontId="2" type="noConversion"/>
  </si>
  <si>
    <t>[표2]</t>
    <phoneticPr fontId="2" type="noConversion"/>
  </si>
  <si>
    <t>성명</t>
    <phoneticPr fontId="2" type="noConversion"/>
  </si>
  <si>
    <t>광주</t>
    <phoneticPr fontId="2" type="noConversion"/>
  </si>
  <si>
    <t>김미정</t>
    <phoneticPr fontId="2" type="noConversion"/>
  </si>
  <si>
    <t>서울</t>
    <phoneticPr fontId="2" type="noConversion"/>
  </si>
  <si>
    <t>서진수</t>
    <phoneticPr fontId="2" type="noConversion"/>
  </si>
  <si>
    <t>박주영</t>
    <phoneticPr fontId="2" type="noConversion"/>
  </si>
  <si>
    <t>부산</t>
    <phoneticPr fontId="2" type="noConversion"/>
  </si>
  <si>
    <t>원영현</t>
    <phoneticPr fontId="2" type="noConversion"/>
  </si>
  <si>
    <t>인천</t>
    <phoneticPr fontId="2" type="noConversion"/>
  </si>
  <si>
    <t>오선영</t>
    <phoneticPr fontId="2" type="noConversion"/>
  </si>
  <si>
    <t>제주</t>
    <phoneticPr fontId="2" type="noConversion"/>
  </si>
  <si>
    <t>최은미</t>
    <phoneticPr fontId="2" type="noConversion"/>
  </si>
  <si>
    <t>대전</t>
    <phoneticPr fontId="2" type="noConversion"/>
  </si>
  <si>
    <t>박진희</t>
    <phoneticPr fontId="2" type="noConversion"/>
  </si>
  <si>
    <t>[표4]</t>
    <phoneticPr fontId="2" type="noConversion"/>
  </si>
  <si>
    <t>[표5]</t>
    <phoneticPr fontId="2" type="noConversion"/>
  </si>
  <si>
    <t>구분</t>
    <phoneticPr fontId="2" type="noConversion"/>
  </si>
  <si>
    <t>대학 학과별 학생 및 교원 현황</t>
  </si>
  <si>
    <t>제품명</t>
  </si>
  <si>
    <t>판매량</t>
  </si>
  <si>
    <t>재고량</t>
  </si>
  <si>
    <t>가격</t>
  </si>
  <si>
    <t>제품코드</t>
  </si>
  <si>
    <t>총매출</t>
  </si>
  <si>
    <t>P-9707</t>
  </si>
  <si>
    <t>노트북</t>
  </si>
  <si>
    <t>P-2163</t>
  </si>
  <si>
    <t>데스크탑</t>
  </si>
  <si>
    <t>P-5568</t>
  </si>
  <si>
    <t>모니터</t>
  </si>
  <si>
    <t>P-1587</t>
  </si>
  <si>
    <t>키보드</t>
  </si>
  <si>
    <t>P-9884</t>
  </si>
  <si>
    <t>마우스</t>
  </si>
  <si>
    <t>P-9825</t>
  </si>
  <si>
    <t>프린터</t>
  </si>
  <si>
    <t>P-5200</t>
  </si>
  <si>
    <t>스캐너</t>
  </si>
  <si>
    <t>P-7359</t>
  </si>
  <si>
    <t>헤드셋</t>
  </si>
  <si>
    <t>제품별 판매 현황</t>
    <phoneticPr fontId="2" type="noConversion"/>
  </si>
  <si>
    <t>지역</t>
  </si>
  <si>
    <t>날짜</t>
  </si>
  <si>
    <t>기압 (hPa)</t>
  </si>
  <si>
    <t>강수량 (mm)</t>
  </si>
  <si>
    <t>서울</t>
  </si>
  <si>
    <t>부산</t>
  </si>
  <si>
    <t>대전</t>
  </si>
  <si>
    <t>대구</t>
  </si>
  <si>
    <t>인천</t>
  </si>
  <si>
    <t>광주</t>
  </si>
  <si>
    <t>울산</t>
  </si>
  <si>
    <t>수원</t>
  </si>
  <si>
    <t>강릉</t>
  </si>
  <si>
    <t>제주</t>
  </si>
  <si>
    <t>여수</t>
  </si>
  <si>
    <t>창원</t>
  </si>
  <si>
    <t>원주</t>
  </si>
  <si>
    <t>평택</t>
  </si>
  <si>
    <t>청주</t>
  </si>
  <si>
    <t>기상 데이터 관리</t>
    <phoneticPr fontId="2" type="noConversion"/>
  </si>
  <si>
    <t>[표1]</t>
    <phoneticPr fontId="2" type="noConversion"/>
  </si>
  <si>
    <t>고객ID</t>
    <phoneticPr fontId="2" type="noConversion"/>
  </si>
  <si>
    <t>구매금액</t>
    <phoneticPr fontId="2" type="noConversion"/>
  </si>
  <si>
    <t>가입일</t>
    <phoneticPr fontId="2" type="noConversion"/>
  </si>
  <si>
    <t>A1234</t>
  </si>
  <si>
    <t>B5678</t>
  </si>
  <si>
    <t>D1122</t>
  </si>
  <si>
    <t>E3145</t>
  </si>
  <si>
    <t>F5679</t>
  </si>
  <si>
    <t>A9101</t>
    <phoneticPr fontId="2" type="noConversion"/>
  </si>
  <si>
    <t>A8012</t>
    <phoneticPr fontId="2" type="noConversion"/>
  </si>
  <si>
    <t>도시</t>
    <phoneticPr fontId="2" type="noConversion"/>
  </si>
  <si>
    <t>기온</t>
    <phoneticPr fontId="2" type="noConversion"/>
  </si>
  <si>
    <t>강릉</t>
    <phoneticPr fontId="2" type="noConversion"/>
  </si>
  <si>
    <t>대구</t>
    <phoneticPr fontId="2" type="noConversion"/>
  </si>
  <si>
    <t>강수확률(%)</t>
    <phoneticPr fontId="2" type="noConversion"/>
  </si>
  <si>
    <t>풍속(m/s)</t>
    <phoneticPr fontId="2" type="noConversion"/>
  </si>
  <si>
    <t>강수확률/풍속 개수</t>
    <phoneticPr fontId="2" type="noConversion"/>
  </si>
  <si>
    <t>일반</t>
    <phoneticPr fontId="2" type="noConversion"/>
  </si>
  <si>
    <t>학생</t>
    <phoneticPr fontId="2" type="noConversion"/>
  </si>
  <si>
    <t>전기자전거</t>
    <phoneticPr fontId="2" type="noConversion"/>
  </si>
  <si>
    <t>정기권구분</t>
    <phoneticPr fontId="2" type="noConversion"/>
  </si>
  <si>
    <t>개월</t>
    <phoneticPr fontId="2" type="noConversion"/>
  </si>
  <si>
    <t>학생정기권</t>
    <phoneticPr fontId="2" type="noConversion"/>
  </si>
  <si>
    <t>일반정기권</t>
    <phoneticPr fontId="2" type="noConversion"/>
  </si>
  <si>
    <t>전기</t>
    <phoneticPr fontId="2" type="noConversion"/>
  </si>
  <si>
    <t>대여금액</t>
    <phoneticPr fontId="2" type="noConversion"/>
  </si>
  <si>
    <t>자전거요금표</t>
    <phoneticPr fontId="2" type="noConversion"/>
  </si>
  <si>
    <t>김철수</t>
  </si>
  <si>
    <t>김철수</t>
    <phoneticPr fontId="2" type="noConversion"/>
  </si>
  <si>
    <t>박영희</t>
  </si>
  <si>
    <t>박영희</t>
    <phoneticPr fontId="2" type="noConversion"/>
  </si>
  <si>
    <t>이민수</t>
  </si>
  <si>
    <t>이민수</t>
    <phoneticPr fontId="2" type="noConversion"/>
  </si>
  <si>
    <t>최지훈</t>
  </si>
  <si>
    <t>최지훈</t>
    <phoneticPr fontId="2" type="noConversion"/>
  </si>
  <si>
    <t>장은영</t>
  </si>
  <si>
    <t>장은영</t>
    <phoneticPr fontId="2" type="noConversion"/>
  </si>
  <si>
    <t>윤도현</t>
  </si>
  <si>
    <t>강민호</t>
  </si>
  <si>
    <t>강민호</t>
    <phoneticPr fontId="2" type="noConversion"/>
  </si>
  <si>
    <t>오상지</t>
    <phoneticPr fontId="2" type="noConversion"/>
  </si>
  <si>
    <t>운전자</t>
    <phoneticPr fontId="2" type="noConversion"/>
  </si>
  <si>
    <t>박철호</t>
    <phoneticPr fontId="2" type="noConversion"/>
  </si>
  <si>
    <t>한지수</t>
  </si>
  <si>
    <t>한지수</t>
    <phoneticPr fontId="2" type="noConversion"/>
  </si>
  <si>
    <t>단속장소</t>
    <phoneticPr fontId="2" type="noConversion"/>
  </si>
  <si>
    <t>강남역</t>
    <phoneticPr fontId="2" type="noConversion"/>
  </si>
  <si>
    <t>홍대입구</t>
    <phoneticPr fontId="2" type="noConversion"/>
  </si>
  <si>
    <t>서울역</t>
    <phoneticPr fontId="2" type="noConversion"/>
  </si>
  <si>
    <t>신촌</t>
    <phoneticPr fontId="2" type="noConversion"/>
  </si>
  <si>
    <t>강북구청</t>
    <phoneticPr fontId="2" type="noConversion"/>
  </si>
  <si>
    <t>합정역</t>
    <phoneticPr fontId="2" type="noConversion"/>
  </si>
  <si>
    <t>종로3가</t>
    <phoneticPr fontId="2" type="noConversion"/>
  </si>
  <si>
    <t>인천공항</t>
    <phoneticPr fontId="2" type="noConversion"/>
  </si>
  <si>
    <t>노원구청</t>
    <phoneticPr fontId="2" type="noConversion"/>
  </si>
  <si>
    <t>단속시간</t>
    <phoneticPr fontId="2" type="noConversion"/>
  </si>
  <si>
    <t>혈중알코올
농도(%)</t>
    <phoneticPr fontId="2" type="noConversion"/>
  </si>
  <si>
    <t>처벌기준</t>
    <phoneticPr fontId="2" type="noConversion"/>
  </si>
  <si>
    <t>[표3]</t>
    <phoneticPr fontId="2" type="noConversion"/>
  </si>
  <si>
    <t>고객번호</t>
    <phoneticPr fontId="2" type="noConversion"/>
  </si>
  <si>
    <t>나이</t>
    <phoneticPr fontId="2" type="noConversion"/>
  </si>
  <si>
    <t>주소</t>
    <phoneticPr fontId="2" type="noConversion"/>
  </si>
  <si>
    <t>청구금액</t>
    <phoneticPr fontId="2" type="noConversion"/>
  </si>
  <si>
    <t>C001</t>
  </si>
  <si>
    <t>옥산리</t>
    <phoneticPr fontId="2" type="noConversion"/>
  </si>
  <si>
    <t>시산리</t>
    <phoneticPr fontId="2" type="noConversion"/>
  </si>
  <si>
    <t>쌍계리</t>
    <phoneticPr fontId="2" type="noConversion"/>
  </si>
  <si>
    <t>금평리</t>
    <phoneticPr fontId="2" type="noConversion"/>
  </si>
  <si>
    <t>중안리</t>
    <phoneticPr fontId="2" type="noConversion"/>
  </si>
  <si>
    <t>전암리</t>
    <phoneticPr fontId="2" type="noConversion"/>
  </si>
  <si>
    <t>양산천</t>
    <phoneticPr fontId="2" type="noConversion"/>
  </si>
  <si>
    <t>도고리</t>
    <phoneticPr fontId="2" type="noConversion"/>
  </si>
  <si>
    <t>D125</t>
    <phoneticPr fontId="2" type="noConversion"/>
  </si>
  <si>
    <t>A015</t>
    <phoneticPr fontId="2" type="noConversion"/>
  </si>
  <si>
    <t>B432</t>
    <phoneticPr fontId="2" type="noConversion"/>
  </si>
  <si>
    <t>C113</t>
    <phoneticPr fontId="2" type="noConversion"/>
  </si>
  <si>
    <t>D215</t>
    <phoneticPr fontId="2" type="noConversion"/>
  </si>
  <si>
    <t>A048</t>
    <phoneticPr fontId="2" type="noConversion"/>
  </si>
  <si>
    <t>D073</t>
    <phoneticPr fontId="2" type="noConversion"/>
  </si>
  <si>
    <t>D090</t>
    <phoneticPr fontId="2" type="noConversion"/>
  </si>
  <si>
    <t>사용량(㎥)</t>
    <phoneticPr fontId="2" type="noConversion"/>
  </si>
  <si>
    <t>지역코드</t>
    <phoneticPr fontId="2" type="noConversion"/>
  </si>
  <si>
    <t>점검</t>
    <phoneticPr fontId="2" type="noConversion"/>
  </si>
  <si>
    <t>고객명</t>
  </si>
  <si>
    <t>사용일자</t>
  </si>
  <si>
    <t>C002</t>
  </si>
  <si>
    <t>C003</t>
  </si>
  <si>
    <t>C004</t>
  </si>
  <si>
    <t>C005</t>
  </si>
  <si>
    <t>C006</t>
  </si>
  <si>
    <t>C007</t>
  </si>
  <si>
    <t>C008</t>
  </si>
  <si>
    <t>신예진</t>
  </si>
  <si>
    <t>C009</t>
  </si>
  <si>
    <t>오상진</t>
  </si>
  <si>
    <t>C010</t>
  </si>
  <si>
    <t>설치 위치</t>
  </si>
  <si>
    <t>아파트</t>
  </si>
  <si>
    <t>단독 주택</t>
  </si>
  <si>
    <t>C011</t>
  </si>
  <si>
    <t>최승민</t>
  </si>
  <si>
    <t>C012</t>
  </si>
  <si>
    <t>박진영</t>
  </si>
  <si>
    <t>검사번호</t>
  </si>
  <si>
    <t>검사기관</t>
  </si>
  <si>
    <t>W001</t>
  </si>
  <si>
    <t>질소화합물</t>
  </si>
  <si>
    <t>불량</t>
  </si>
  <si>
    <t>환경청</t>
  </si>
  <si>
    <t>부적합</t>
  </si>
  <si>
    <t>W002</t>
  </si>
  <si>
    <t>중금속</t>
  </si>
  <si>
    <t>양호</t>
  </si>
  <si>
    <t>수질연구소</t>
  </si>
  <si>
    <t>적합</t>
  </si>
  <si>
    <t>W003</t>
  </si>
  <si>
    <t>인공화학물질</t>
  </si>
  <si>
    <t>W004</t>
  </si>
  <si>
    <t>유기물질</t>
  </si>
  <si>
    <t>W005</t>
  </si>
  <si>
    <t>W006</t>
  </si>
  <si>
    <t>W007</t>
  </si>
  <si>
    <t>W008</t>
  </si>
  <si>
    <t>W009</t>
  </si>
  <si>
    <t>W010</t>
  </si>
  <si>
    <t>W011</t>
  </si>
  <si>
    <t>W012</t>
  </si>
  <si>
    <t>수질오염 검사</t>
    <phoneticPr fontId="2" type="noConversion"/>
  </si>
  <si>
    <t>오염농도(mg/L)</t>
    <phoneticPr fontId="2" type="noConversion"/>
  </si>
  <si>
    <t>수질상태</t>
    <phoneticPr fontId="2" type="noConversion"/>
  </si>
  <si>
    <t>종류</t>
  </si>
  <si>
    <t>오염종류</t>
    <phoneticPr fontId="2" type="noConversion"/>
  </si>
  <si>
    <t>pH값</t>
    <phoneticPr fontId="2" type="noConversion"/>
  </si>
  <si>
    <t>적합여부</t>
    <phoneticPr fontId="2" type="noConversion"/>
  </si>
  <si>
    <t>출동번호</t>
  </si>
  <si>
    <t>출동시간</t>
  </si>
  <si>
    <t>출동유형</t>
  </si>
  <si>
    <t>F001</t>
  </si>
  <si>
    <t>화재</t>
  </si>
  <si>
    <t>F002</t>
  </si>
  <si>
    <t>구조</t>
  </si>
  <si>
    <t>F003</t>
  </si>
  <si>
    <t>F004</t>
  </si>
  <si>
    <t>F005</t>
  </si>
  <si>
    <t>F006</t>
  </si>
  <si>
    <t>F007</t>
  </si>
  <si>
    <t>F008</t>
  </si>
  <si>
    <t>F009</t>
  </si>
  <si>
    <t>F010</t>
  </si>
  <si>
    <t>F011</t>
  </si>
  <si>
    <t>F012</t>
  </si>
  <si>
    <t>소요시간</t>
    <phoneticPr fontId="2" type="noConversion"/>
  </si>
  <si>
    <t>출동인원</t>
    <phoneticPr fontId="2" type="noConversion"/>
  </si>
  <si>
    <t>완료시간</t>
    <phoneticPr fontId="2" type="noConversion"/>
  </si>
  <si>
    <t>플라스틱</t>
  </si>
  <si>
    <t>종이류</t>
  </si>
  <si>
    <t>캔고철류</t>
  </si>
  <si>
    <t>불연성</t>
  </si>
  <si>
    <t>일반쓰레기</t>
  </si>
  <si>
    <t>음식물쓰레기</t>
  </si>
  <si>
    <t>비닐류</t>
    <phoneticPr fontId="2" type="noConversion"/>
  </si>
  <si>
    <t>스티리폼</t>
    <phoneticPr fontId="2" type="noConversion"/>
  </si>
  <si>
    <t>2022년</t>
  </si>
  <si>
    <t>2023년</t>
  </si>
  <si>
    <t>2024년</t>
  </si>
  <si>
    <t>2025년</t>
  </si>
  <si>
    <t>(단위:톤)</t>
    <phoneticPr fontId="2" type="noConversion"/>
  </si>
  <si>
    <t>쓰레기 종류별 배출 현황</t>
    <phoneticPr fontId="2" type="noConversion"/>
  </si>
  <si>
    <t>소방출동 현황</t>
    <phoneticPr fontId="2" type="noConversion"/>
  </si>
  <si>
    <t>2026년</t>
  </si>
  <si>
    <t>비고</t>
    <phoneticPr fontId="2" type="noConversion"/>
  </si>
  <si>
    <t>습도(%)</t>
    <phoneticPr fontId="2" type="noConversion"/>
  </si>
  <si>
    <t>기온(°C)</t>
    <phoneticPr fontId="2" type="noConversion"/>
  </si>
  <si>
    <t>바람속도 (m/s)</t>
    <phoneticPr fontId="2" type="noConversion"/>
  </si>
  <si>
    <t>수도 사용량</t>
    <phoneticPr fontId="2" type="noConversion"/>
  </si>
  <si>
    <t>일출시간</t>
    <phoneticPr fontId="2" type="noConversion"/>
  </si>
  <si>
    <t>일몰시간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</si>
</sst>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hh:mm"/>
  </numFmts>
  <fonts count="13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2" applyFont="1" applyAlignment="1"/>
    <xf numFmtId="0" fontId="5" fillId="0" borderId="0" xfId="0" applyFont="1">
      <alignment vertical="center"/>
    </xf>
    <xf numFmtId="0" fontId="5" fillId="0" borderId="0" xfId="0" applyFont="1" applyAlignment="1">
      <alignment horizontal="right" vertical="center"/>
    </xf>
    <xf numFmtId="41" fontId="0" fillId="0" borderId="1" xfId="1" applyFont="1" applyBorder="1" applyAlignment="1">
      <alignment horizontal="center" vertical="center"/>
    </xf>
    <xf numFmtId="0" fontId="7" fillId="0" borderId="0" xfId="2" applyFont="1">
      <alignment vertical="center"/>
    </xf>
    <xf numFmtId="0" fontId="7" fillId="0" borderId="0" xfId="2" applyFont="1" applyAlignment="1">
      <alignment horizontal="right" vertical="center"/>
    </xf>
    <xf numFmtId="0" fontId="7" fillId="0" borderId="1" xfId="2" applyFont="1" applyBorder="1" applyAlignment="1">
      <alignment horizontal="center" vertical="center"/>
    </xf>
    <xf numFmtId="41" fontId="7" fillId="0" borderId="1" xfId="1" applyFont="1" applyBorder="1" applyAlignment="1">
      <alignment horizontal="center" vertical="center"/>
    </xf>
    <xf numFmtId="0" fontId="7" fillId="0" borderId="0" xfId="2" applyFont="1" applyAlignment="1">
      <alignment horizontal="center" vertical="center"/>
    </xf>
    <xf numFmtId="41" fontId="7" fillId="0" borderId="0" xfId="3" applyFont="1" applyBorder="1" applyAlignment="1">
      <alignment horizontal="center" vertical="center"/>
    </xf>
    <xf numFmtId="0" fontId="7" fillId="0" borderId="2" xfId="2" applyFont="1" applyBorder="1" applyAlignment="1">
      <alignment horizontal="left" vertical="center"/>
    </xf>
    <xf numFmtId="0" fontId="7" fillId="0" borderId="0" xfId="2" applyFont="1" applyAlignment="1">
      <alignment horizontal="left" vertical="center"/>
    </xf>
    <xf numFmtId="41" fontId="7" fillId="0" borderId="0" xfId="1" applyFont="1" applyBorder="1" applyAlignment="1">
      <alignment horizontal="center" vertical="center"/>
    </xf>
    <xf numFmtId="0" fontId="0" fillId="0" borderId="1" xfId="0" applyBorder="1">
      <alignment vertical="center"/>
    </xf>
    <xf numFmtId="0" fontId="4" fillId="0" borderId="0" xfId="2" applyFont="1">
      <alignment vertical="center"/>
    </xf>
    <xf numFmtId="41" fontId="0" fillId="0" borderId="0" xfId="1" applyFont="1">
      <alignment vertical="center"/>
    </xf>
    <xf numFmtId="41" fontId="0" fillId="0" borderId="1" xfId="1" applyFont="1" applyBorder="1">
      <alignment vertical="center"/>
    </xf>
    <xf numFmtId="3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2" applyFont="1" applyAlignment="1"/>
    <xf numFmtId="0" fontId="0" fillId="0" borderId="1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0" xfId="2" applyFont="1" applyAlignment="1">
      <alignment horizontal="center"/>
    </xf>
    <xf numFmtId="20" fontId="0" fillId="0" borderId="1" xfId="0" applyNumberForma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/>
    </xf>
    <xf numFmtId="41" fontId="0" fillId="0" borderId="3" xfId="1" applyFont="1" applyBorder="1">
      <alignment vertical="center"/>
    </xf>
    <xf numFmtId="41" fontId="0" fillId="0" borderId="4" xfId="1" applyFont="1" applyBorder="1">
      <alignment vertical="center"/>
    </xf>
    <xf numFmtId="41" fontId="0" fillId="0" borderId="5" xfId="1" applyFont="1" applyBorder="1">
      <alignment vertical="center"/>
    </xf>
    <xf numFmtId="41" fontId="0" fillId="0" borderId="6" xfId="1" applyFont="1" applyBorder="1">
      <alignment vertical="center"/>
    </xf>
    <xf numFmtId="41" fontId="0" fillId="0" borderId="7" xfId="1" applyFont="1" applyBorder="1">
      <alignment vertical="center"/>
    </xf>
    <xf numFmtId="41" fontId="0" fillId="0" borderId="9" xfId="1" applyFont="1" applyBorder="1">
      <alignment vertical="center"/>
    </xf>
    <xf numFmtId="41" fontId="0" fillId="0" borderId="10" xfId="1" applyFont="1" applyBorder="1">
      <alignment vertical="center"/>
    </xf>
    <xf numFmtId="41" fontId="0" fillId="0" borderId="11" xfId="1" applyFont="1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7" fillId="0" borderId="1" xfId="1" applyNumberFormat="1" applyFont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/>
    </xf>
    <xf numFmtId="176" fontId="0" fillId="0" borderId="1" xfId="1" applyNumberFormat="1" applyFont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 wrapText="1"/>
    </xf>
    <xf numFmtId="0" fontId="7" fillId="0" borderId="0" xfId="2" applyFont="1" applyBorder="1" applyAlignment="1">
      <alignment horizontal="center" vertical="center"/>
    </xf>
    <xf numFmtId="41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6" fillId="0" borderId="0" xfId="0" applyFont="1">
      <alignment vertical="center"/>
    </xf>
    <xf numFmtId="0" fontId="10" fillId="0" borderId="0" xfId="0" applyFont="1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0" fillId="0" borderId="1" xfId="0" applyNumberFormat="1" applyBorder="1" applyAlignment="1">
      <alignment horizontal="center" vertical="center" wrapText="1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0" fillId="0" borderId="1" xfId="0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 wrapText="1"/>
    </xf>
    <xf numFmtId="20" fontId="0" fillId="0" borderId="1" xfId="0" applyNumberFormat="1" applyFill="1" applyBorder="1" applyAlignment="1">
      <alignment horizontal="center" vertical="center" wrapText="1"/>
    </xf>
    <xf numFmtId="20" fontId="0" fillId="0" borderId="1" xfId="0" applyNumberFormat="1" applyFill="1" applyBorder="1" applyAlignment="1">
      <alignment vertical="center" wrapText="1"/>
    </xf>
    <xf numFmtId="0" fontId="6" fillId="0" borderId="8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</cellXfs>
  <cellStyles count="4">
    <cellStyle name="쉼표 [0]" xfId="1" builtinId="6"/>
    <cellStyle name="쉼표 [0] 2" xfId="3" xr:uid="{127569F6-457C-47BD-A111-53F271C82479}"/>
    <cellStyle name="표준" xfId="0" builtinId="0"/>
    <cellStyle name="표준 2" xfId="2" xr:uid="{6313909A-C6CC-43CD-8CDC-9A61526FE45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차트작업!$B$5</c:f>
              <c:strCache>
                <c:ptCount val="1"/>
                <c:pt idx="0">
                  <c:v>불연성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차트작업!$C$5:$G$5</c:f>
              <c:numCache>
                <c:formatCode>General</c:formatCode>
                <c:ptCount val="5"/>
                <c:pt idx="0">
                  <c:v>61.6</c:v>
                </c:pt>
                <c:pt idx="1">
                  <c:v>96.9</c:v>
                </c:pt>
                <c:pt idx="2">
                  <c:v>60.3</c:v>
                </c:pt>
                <c:pt idx="3">
                  <c:v>42</c:v>
                </c:pt>
                <c:pt idx="4">
                  <c:v>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2C-4973-A54F-AA4D68F123B0}"/>
            </c:ext>
          </c:extLst>
        </c:ser>
        <c:ser>
          <c:idx val="1"/>
          <c:order val="1"/>
          <c:tx>
            <c:strRef>
              <c:f>차트작업!$B$6</c:f>
              <c:strCache>
                <c:ptCount val="1"/>
                <c:pt idx="0">
                  <c:v>비닐류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차트작업!$C$6:$G$6</c:f>
              <c:numCache>
                <c:formatCode>General</c:formatCode>
                <c:ptCount val="5"/>
                <c:pt idx="0">
                  <c:v>2.1</c:v>
                </c:pt>
                <c:pt idx="1">
                  <c:v>4.3</c:v>
                </c:pt>
                <c:pt idx="2">
                  <c:v>4.8</c:v>
                </c:pt>
                <c:pt idx="3">
                  <c:v>4.5999999999999996</c:v>
                </c:pt>
                <c:pt idx="4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2C-4973-A54F-AA4D68F123B0}"/>
            </c:ext>
          </c:extLst>
        </c:ser>
        <c:ser>
          <c:idx val="2"/>
          <c:order val="2"/>
          <c:tx>
            <c:strRef>
              <c:f>차트작업!$B$7</c:f>
              <c:strCache>
                <c:ptCount val="1"/>
                <c:pt idx="0">
                  <c:v>스티리폼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차트작업!$C$7:$G$7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2C-4973-A54F-AA4D68F123B0}"/>
            </c:ext>
          </c:extLst>
        </c:ser>
        <c:ser>
          <c:idx val="3"/>
          <c:order val="3"/>
          <c:tx>
            <c:strRef>
              <c:f>차트작업!$B$8</c:f>
              <c:strCache>
                <c:ptCount val="1"/>
                <c:pt idx="0">
                  <c:v>음식물쓰레기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차트작업!$C$8:$G$8</c:f>
              <c:numCache>
                <c:formatCode>General</c:formatCode>
                <c:ptCount val="5"/>
                <c:pt idx="0">
                  <c:v>39.1</c:v>
                </c:pt>
                <c:pt idx="1">
                  <c:v>49.8</c:v>
                </c:pt>
                <c:pt idx="2">
                  <c:v>64.7</c:v>
                </c:pt>
                <c:pt idx="3">
                  <c:v>73.5</c:v>
                </c:pt>
                <c:pt idx="4">
                  <c:v>70.599999999999994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2C-4973-A54F-AA4D68F123B0}"/>
            </c:ext>
          </c:extLst>
        </c:ser>
        <c:ser>
          <c:idx val="4"/>
          <c:order val="4"/>
          <c:tx>
            <c:strRef>
              <c:f>차트작업!$B$9</c:f>
              <c:strCache>
                <c:ptCount val="1"/>
                <c:pt idx="0">
                  <c:v>일반쓰레기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차트작업!$C$9:$G$9</c:f>
              <c:numCache>
                <c:formatCode>General</c:formatCode>
                <c:ptCount val="5"/>
                <c:pt idx="0">
                  <c:v>67.2</c:v>
                </c:pt>
                <c:pt idx="1">
                  <c:v>66.900000000000006</c:v>
                </c:pt>
                <c:pt idx="2">
                  <c:v>81.900000000000006</c:v>
                </c:pt>
                <c:pt idx="3">
                  <c:v>11.8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2C-4973-A54F-AA4D68F123B0}"/>
            </c:ext>
          </c:extLst>
        </c:ser>
        <c:ser>
          <c:idx val="5"/>
          <c:order val="5"/>
          <c:tx>
            <c:strRef>
              <c:f>차트작업!$B$10</c:f>
              <c:strCache>
                <c:ptCount val="1"/>
                <c:pt idx="0">
                  <c:v>종이류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차트작업!$C$10:$G$10</c:f>
              <c:numCache>
                <c:formatCode>General</c:formatCode>
                <c:ptCount val="5"/>
                <c:pt idx="0">
                  <c:v>4.7</c:v>
                </c:pt>
                <c:pt idx="1">
                  <c:v>89</c:v>
                </c:pt>
                <c:pt idx="2">
                  <c:v>66</c:v>
                </c:pt>
                <c:pt idx="3">
                  <c:v>9</c:v>
                </c:pt>
                <c:pt idx="4">
                  <c:v>140.80000000000001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72C-4973-A54F-AA4D68F123B0}"/>
            </c:ext>
          </c:extLst>
        </c:ser>
        <c:ser>
          <c:idx val="6"/>
          <c:order val="6"/>
          <c:tx>
            <c:strRef>
              <c:f>차트작업!$B$11</c:f>
              <c:strCache>
                <c:ptCount val="1"/>
                <c:pt idx="0">
                  <c:v>캔고철류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차트작업!$C$11:$G$11</c:f>
              <c:numCache>
                <c:formatCode>General</c:formatCode>
                <c:ptCount val="5"/>
                <c:pt idx="0">
                  <c:v>83.2</c:v>
                </c:pt>
                <c:pt idx="1">
                  <c:v>101</c:v>
                </c:pt>
                <c:pt idx="2">
                  <c:v>142</c:v>
                </c:pt>
                <c:pt idx="3">
                  <c:v>148.19999999999999</c:v>
                </c:pt>
                <c:pt idx="4">
                  <c:v>121.3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72C-4973-A54F-AA4D68F123B0}"/>
            </c:ext>
          </c:extLst>
        </c:ser>
        <c:ser>
          <c:idx val="7"/>
          <c:order val="7"/>
          <c:tx>
            <c:strRef>
              <c:f>차트작업!$B$12</c:f>
              <c:strCache>
                <c:ptCount val="1"/>
                <c:pt idx="0">
                  <c:v>플라스틱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차트작업!$C$12:$G$12</c:f>
              <c:numCache>
                <c:formatCode>General</c:formatCode>
                <c:ptCount val="5"/>
                <c:pt idx="0">
                  <c:v>17.899999999999999</c:v>
                </c:pt>
                <c:pt idx="1">
                  <c:v>33.4</c:v>
                </c:pt>
                <c:pt idx="2">
                  <c:v>21</c:v>
                </c:pt>
                <c:pt idx="3">
                  <c:v>27.7</c:v>
                </c:pt>
                <c:pt idx="4">
                  <c:v>19.600000000000001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72C-4973-A54F-AA4D68F12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4466895"/>
        <c:axId val="884468559"/>
      </c:barChart>
      <c:catAx>
        <c:axId val="884466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4468559"/>
        <c:crosses val="autoZero"/>
        <c:auto val="1"/>
        <c:lblAlgn val="ctr"/>
        <c:lblOffset val="100"/>
        <c:noMultiLvlLbl val="0"/>
      </c:catAx>
      <c:valAx>
        <c:axId val="884468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4466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9</xdr:col>
      <xdr:colOff>0</xdr:colOff>
      <xdr:row>32</xdr:row>
      <xdr:rowOff>0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617A-4BB1-4C96-9E94-D378FDDBD0EC}">
  <sheetPr codeName="Sheet1"/>
  <dimension ref="A1"/>
  <sheetViews>
    <sheetView tabSelected="1" workbookViewId="0"/>
  </sheetViews>
  <sheetFormatPr defaultRowHeight="16.5"/>
  <cols>
    <col min="1" max="1" width="11" bestFit="1" customWidth="1"/>
    <col min="2" max="2" width="15.125" bestFit="1" customWidth="1"/>
    <col min="3" max="3" width="11.625" bestFit="1" customWidth="1"/>
    <col min="5" max="5" width="15.5" bestFit="1" customWidth="1"/>
    <col min="6" max="6" width="12.875" customWidth="1"/>
  </cols>
  <sheetData>
    <row r="1" spans="1:1">
      <c r="A1" t="s">
        <v>19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2B3BC-017A-4CF3-A6F0-7A33C39FCF20}">
  <sheetPr codeName="Sheet2"/>
  <dimension ref="A1:F12"/>
  <sheetViews>
    <sheetView workbookViewId="0"/>
  </sheetViews>
  <sheetFormatPr defaultRowHeight="16.5"/>
  <cols>
    <col min="1" max="1" width="9" bestFit="1" customWidth="1"/>
    <col min="3" max="3" width="9.25" customWidth="1"/>
    <col min="4" max="4" width="9.75" customWidth="1"/>
    <col min="5" max="5" width="13.25" customWidth="1"/>
    <col min="6" max="6" width="20.25" customWidth="1"/>
  </cols>
  <sheetData>
    <row r="1" spans="1:6" ht="20.45" customHeight="1">
      <c r="A1" t="s">
        <v>42</v>
      </c>
    </row>
    <row r="3" spans="1:6">
      <c r="A3" t="s">
        <v>24</v>
      </c>
      <c r="B3" t="s">
        <v>20</v>
      </c>
      <c r="C3" t="s">
        <v>21</v>
      </c>
      <c r="D3" t="s">
        <v>22</v>
      </c>
      <c r="E3" t="s">
        <v>23</v>
      </c>
      <c r="F3" t="s">
        <v>25</v>
      </c>
    </row>
    <row r="4" spans="1:6">
      <c r="A4" t="s">
        <v>26</v>
      </c>
      <c r="B4" t="s">
        <v>27</v>
      </c>
      <c r="C4">
        <v>2736</v>
      </c>
      <c r="D4">
        <v>246</v>
      </c>
      <c r="E4" s="17">
        <v>164816</v>
      </c>
      <c r="F4">
        <v>450936576</v>
      </c>
    </row>
    <row r="5" spans="1:6">
      <c r="A5" t="s">
        <v>28</v>
      </c>
      <c r="B5" t="s">
        <v>29</v>
      </c>
      <c r="C5">
        <v>3103</v>
      </c>
      <c r="D5">
        <v>137</v>
      </c>
      <c r="E5" s="17">
        <v>11452</v>
      </c>
      <c r="F5">
        <v>35535556</v>
      </c>
    </row>
    <row r="6" spans="1:6">
      <c r="A6" t="s">
        <v>30</v>
      </c>
      <c r="B6" t="s">
        <v>31</v>
      </c>
      <c r="C6">
        <v>3865</v>
      </c>
      <c r="D6">
        <v>392</v>
      </c>
      <c r="E6" s="17">
        <v>24726</v>
      </c>
      <c r="F6">
        <v>95565990</v>
      </c>
    </row>
    <row r="7" spans="1:6">
      <c r="A7" t="s">
        <v>32</v>
      </c>
      <c r="B7" t="s">
        <v>33</v>
      </c>
      <c r="C7">
        <v>3113</v>
      </c>
      <c r="D7">
        <v>218</v>
      </c>
      <c r="E7" s="17">
        <v>239257</v>
      </c>
      <c r="F7">
        <v>744807041</v>
      </c>
    </row>
    <row r="8" spans="1:6">
      <c r="A8" t="s">
        <v>34</v>
      </c>
      <c r="B8" t="s">
        <v>35</v>
      </c>
      <c r="C8">
        <v>4234</v>
      </c>
      <c r="D8">
        <v>471</v>
      </c>
      <c r="E8" s="17">
        <v>72082</v>
      </c>
      <c r="F8">
        <v>305195188</v>
      </c>
    </row>
    <row r="9" spans="1:6">
      <c r="A9" t="s">
        <v>36</v>
      </c>
      <c r="B9" t="s">
        <v>37</v>
      </c>
      <c r="C9">
        <v>4477</v>
      </c>
      <c r="D9">
        <v>154</v>
      </c>
      <c r="E9" s="17">
        <v>59307</v>
      </c>
      <c r="F9">
        <v>265517439</v>
      </c>
    </row>
    <row r="10" spans="1:6">
      <c r="A10" t="s">
        <v>38</v>
      </c>
      <c r="B10" t="s">
        <v>39</v>
      </c>
      <c r="C10">
        <v>3467</v>
      </c>
      <c r="D10">
        <v>158</v>
      </c>
      <c r="E10" s="17">
        <v>235925</v>
      </c>
      <c r="F10">
        <v>817951975</v>
      </c>
    </row>
    <row r="11" spans="1:6">
      <c r="A11" t="s">
        <v>40</v>
      </c>
      <c r="B11" t="s">
        <v>41</v>
      </c>
      <c r="C11">
        <v>4338</v>
      </c>
      <c r="D11">
        <v>428</v>
      </c>
      <c r="E11" s="17">
        <v>79168</v>
      </c>
      <c r="F11">
        <v>343430784</v>
      </c>
    </row>
    <row r="12" spans="1:6">
      <c r="A12" t="s">
        <v>0</v>
      </c>
      <c r="F12">
        <f>SUM(F4:F11)</f>
        <v>3058940549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3D2E5-7E38-47A3-820F-4D8CDB18B812}">
  <sheetPr codeName="Sheet3"/>
  <dimension ref="A1:I18"/>
  <sheetViews>
    <sheetView workbookViewId="0"/>
  </sheetViews>
  <sheetFormatPr defaultRowHeight="16.5"/>
  <cols>
    <col min="1" max="1" width="8.75" customWidth="1"/>
    <col min="2" max="2" width="12.5" customWidth="1"/>
    <col min="5" max="5" width="11.75" customWidth="1"/>
    <col min="6" max="6" width="9" customWidth="1"/>
    <col min="8" max="9" width="12.625" style="21" customWidth="1"/>
  </cols>
  <sheetData>
    <row r="1" spans="1:9" ht="26.25">
      <c r="A1" s="22" t="s">
        <v>62</v>
      </c>
      <c r="B1" s="2"/>
      <c r="C1" s="2"/>
      <c r="D1" s="2"/>
      <c r="E1" s="2"/>
      <c r="F1" s="2"/>
      <c r="G1" s="2"/>
      <c r="H1" s="26"/>
    </row>
    <row r="2" spans="1:9">
      <c r="A2" s="3"/>
      <c r="B2" s="3"/>
      <c r="C2" s="3"/>
      <c r="D2" s="4"/>
      <c r="E2" s="1"/>
    </row>
    <row r="3" spans="1:9" ht="33">
      <c r="A3" s="28" t="s">
        <v>43</v>
      </c>
      <c r="B3" s="28" t="s">
        <v>44</v>
      </c>
      <c r="C3" s="28" t="s">
        <v>236</v>
      </c>
      <c r="D3" s="28" t="s">
        <v>235</v>
      </c>
      <c r="E3" s="28" t="s">
        <v>237</v>
      </c>
      <c r="F3" s="28" t="s">
        <v>45</v>
      </c>
      <c r="G3" s="28" t="s">
        <v>46</v>
      </c>
      <c r="H3" s="28" t="s">
        <v>239</v>
      </c>
      <c r="I3" s="28" t="s">
        <v>240</v>
      </c>
    </row>
    <row r="4" spans="1:9">
      <c r="A4" s="23" t="s">
        <v>47</v>
      </c>
      <c r="B4" s="24">
        <v>46082</v>
      </c>
      <c r="C4" s="25">
        <v>15</v>
      </c>
      <c r="D4" s="25">
        <v>65</v>
      </c>
      <c r="E4" s="25">
        <v>3.5</v>
      </c>
      <c r="F4" s="25">
        <v>1012</v>
      </c>
      <c r="G4" s="25">
        <v>0</v>
      </c>
      <c r="H4" s="27">
        <v>0.27083333333333331</v>
      </c>
      <c r="I4" s="27">
        <v>0.76041666666666663</v>
      </c>
    </row>
    <row r="5" spans="1:9">
      <c r="A5" s="23" t="s">
        <v>48</v>
      </c>
      <c r="B5" s="24">
        <v>46082</v>
      </c>
      <c r="C5" s="25">
        <v>18</v>
      </c>
      <c r="D5" s="25">
        <v>45</v>
      </c>
      <c r="E5" s="25">
        <v>4.2</v>
      </c>
      <c r="F5" s="25">
        <v>1010</v>
      </c>
      <c r="G5" s="25">
        <v>2</v>
      </c>
      <c r="H5" s="27">
        <v>0.27777777777777779</v>
      </c>
      <c r="I5" s="27">
        <v>0.76388888888888884</v>
      </c>
    </row>
    <row r="6" spans="1:9">
      <c r="A6" s="23" t="s">
        <v>49</v>
      </c>
      <c r="B6" s="24">
        <v>46082</v>
      </c>
      <c r="C6" s="25">
        <v>16</v>
      </c>
      <c r="D6" s="25">
        <v>60</v>
      </c>
      <c r="E6" s="25">
        <v>2.8</v>
      </c>
      <c r="F6" s="25">
        <v>1011</v>
      </c>
      <c r="G6" s="25">
        <v>0.5</v>
      </c>
      <c r="H6" s="27">
        <v>0.27430555555555552</v>
      </c>
      <c r="I6" s="27">
        <v>0.75694444444444453</v>
      </c>
    </row>
    <row r="7" spans="1:9">
      <c r="A7" s="23" t="s">
        <v>50</v>
      </c>
      <c r="B7" s="24">
        <v>46082</v>
      </c>
      <c r="C7" s="25">
        <v>20</v>
      </c>
      <c r="D7" s="25">
        <v>75</v>
      </c>
      <c r="E7" s="25">
        <v>3</v>
      </c>
      <c r="F7" s="25">
        <v>1013</v>
      </c>
      <c r="G7" s="25">
        <v>1</v>
      </c>
      <c r="H7" s="27">
        <v>0.28125</v>
      </c>
      <c r="I7" s="27">
        <v>0.76736111111111116</v>
      </c>
    </row>
    <row r="8" spans="1:9">
      <c r="A8" s="23" t="s">
        <v>51</v>
      </c>
      <c r="B8" s="24">
        <v>46082</v>
      </c>
      <c r="C8" s="25">
        <v>14</v>
      </c>
      <c r="D8" s="25">
        <v>80</v>
      </c>
      <c r="E8" s="25">
        <v>2.5</v>
      </c>
      <c r="F8" s="25">
        <v>1010</v>
      </c>
      <c r="G8" s="25">
        <v>0</v>
      </c>
      <c r="H8" s="27">
        <v>0.2638888888888889</v>
      </c>
      <c r="I8" s="27">
        <v>0.75</v>
      </c>
    </row>
    <row r="9" spans="1:9">
      <c r="A9" s="23" t="s">
        <v>52</v>
      </c>
      <c r="B9" s="24">
        <v>46082</v>
      </c>
      <c r="C9" s="25">
        <v>17</v>
      </c>
      <c r="D9" s="25">
        <v>68</v>
      </c>
      <c r="E9" s="25">
        <v>3.3</v>
      </c>
      <c r="F9" s="25">
        <v>1012</v>
      </c>
      <c r="G9" s="25">
        <v>0.1</v>
      </c>
      <c r="H9" s="27">
        <v>0.2673611111111111</v>
      </c>
      <c r="I9" s="27">
        <v>0.75347222222222221</v>
      </c>
    </row>
    <row r="10" spans="1:9">
      <c r="A10" s="23" t="s">
        <v>53</v>
      </c>
      <c r="B10" s="24">
        <v>46082</v>
      </c>
      <c r="C10" s="25">
        <v>19</v>
      </c>
      <c r="D10" s="25">
        <v>50</v>
      </c>
      <c r="E10" s="25">
        <v>4</v>
      </c>
      <c r="F10" s="25">
        <v>1011</v>
      </c>
      <c r="G10" s="25">
        <v>0</v>
      </c>
      <c r="H10" s="27">
        <v>0.27638888888888885</v>
      </c>
      <c r="I10" s="27">
        <v>0.76250000000000007</v>
      </c>
    </row>
    <row r="11" spans="1:9">
      <c r="A11" s="23" t="s">
        <v>54</v>
      </c>
      <c r="B11" s="24">
        <v>46082</v>
      </c>
      <c r="C11" s="25">
        <v>16</v>
      </c>
      <c r="D11" s="25">
        <v>69</v>
      </c>
      <c r="E11" s="25">
        <v>3.1</v>
      </c>
      <c r="F11" s="25">
        <v>1012</v>
      </c>
      <c r="G11" s="25">
        <v>0</v>
      </c>
      <c r="H11" s="27">
        <v>0.27083333333333331</v>
      </c>
      <c r="I11" s="27">
        <v>0.75694444444444453</v>
      </c>
    </row>
    <row r="12" spans="1:9">
      <c r="A12" s="23" t="s">
        <v>55</v>
      </c>
      <c r="B12" s="24">
        <v>46082</v>
      </c>
      <c r="C12" s="25">
        <v>18</v>
      </c>
      <c r="D12" s="25">
        <v>65</v>
      </c>
      <c r="E12" s="25">
        <v>3.7</v>
      </c>
      <c r="F12" s="25">
        <v>1014</v>
      </c>
      <c r="G12" s="25">
        <v>0</v>
      </c>
      <c r="H12" s="27">
        <v>0.2722222222222222</v>
      </c>
      <c r="I12" s="27">
        <v>0.7583333333333333</v>
      </c>
    </row>
    <row r="13" spans="1:9">
      <c r="A13" s="23" t="s">
        <v>56</v>
      </c>
      <c r="B13" s="24">
        <v>46082</v>
      </c>
      <c r="C13" s="25">
        <v>21</v>
      </c>
      <c r="D13" s="25">
        <v>77</v>
      </c>
      <c r="E13" s="25">
        <v>5</v>
      </c>
      <c r="F13" s="25">
        <v>1010</v>
      </c>
      <c r="G13" s="25">
        <v>3</v>
      </c>
      <c r="H13" s="27">
        <v>0.28472222222222221</v>
      </c>
      <c r="I13" s="27">
        <v>0.77083333333333337</v>
      </c>
    </row>
    <row r="14" spans="1:9">
      <c r="A14" s="23" t="s">
        <v>57</v>
      </c>
      <c r="B14" s="24">
        <v>46082</v>
      </c>
      <c r="C14" s="25">
        <v>22</v>
      </c>
      <c r="D14" s="25">
        <v>79</v>
      </c>
      <c r="E14" s="25">
        <v>3.8</v>
      </c>
      <c r="F14" s="25">
        <v>1013</v>
      </c>
      <c r="G14" s="25">
        <v>2</v>
      </c>
      <c r="H14" s="27">
        <v>0.28819444444444448</v>
      </c>
      <c r="I14" s="27">
        <v>0.77430555555555547</v>
      </c>
    </row>
    <row r="15" spans="1:9">
      <c r="A15" s="23" t="s">
        <v>58</v>
      </c>
      <c r="B15" s="24">
        <v>46082</v>
      </c>
      <c r="C15" s="25">
        <v>20</v>
      </c>
      <c r="D15" s="25">
        <v>48</v>
      </c>
      <c r="E15" s="25">
        <v>4.3</v>
      </c>
      <c r="F15" s="25">
        <v>1011</v>
      </c>
      <c r="G15" s="25">
        <v>0.5</v>
      </c>
      <c r="H15" s="27">
        <v>0.27777777777777779</v>
      </c>
      <c r="I15" s="27">
        <v>0.76736111111111116</v>
      </c>
    </row>
    <row r="16" spans="1:9">
      <c r="A16" s="23" t="s">
        <v>59</v>
      </c>
      <c r="B16" s="24">
        <v>46082</v>
      </c>
      <c r="C16" s="25">
        <v>13</v>
      </c>
      <c r="D16" s="25">
        <v>70</v>
      </c>
      <c r="E16" s="25">
        <v>2.6</v>
      </c>
      <c r="F16" s="25">
        <v>1012</v>
      </c>
      <c r="G16" s="25">
        <v>0</v>
      </c>
      <c r="H16" s="27">
        <v>0.26041666666666669</v>
      </c>
      <c r="I16" s="27">
        <v>0.74652777777777779</v>
      </c>
    </row>
    <row r="17" spans="1:9">
      <c r="A17" s="23" t="s">
        <v>60</v>
      </c>
      <c r="B17" s="24">
        <v>46082</v>
      </c>
      <c r="C17" s="25">
        <v>14</v>
      </c>
      <c r="D17" s="25">
        <v>68</v>
      </c>
      <c r="E17" s="25">
        <v>3.2</v>
      </c>
      <c r="F17" s="25">
        <v>1011</v>
      </c>
      <c r="G17" s="25">
        <v>0.2</v>
      </c>
      <c r="H17" s="27">
        <v>0.2638888888888889</v>
      </c>
      <c r="I17" s="27">
        <v>0.75</v>
      </c>
    </row>
    <row r="18" spans="1:9">
      <c r="A18" s="23" t="s">
        <v>61</v>
      </c>
      <c r="B18" s="24">
        <v>46082</v>
      </c>
      <c r="C18" s="25">
        <v>19</v>
      </c>
      <c r="D18" s="25">
        <v>66</v>
      </c>
      <c r="E18" s="25">
        <v>3</v>
      </c>
      <c r="F18" s="25">
        <v>1012</v>
      </c>
      <c r="G18" s="25">
        <v>0</v>
      </c>
      <c r="H18" s="27">
        <v>0.27430555555555552</v>
      </c>
      <c r="I18" s="27">
        <v>0.76041666666666663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BE00-F401-481F-A9F7-08DE04F45F03}">
  <sheetPr codeName="Sheet4"/>
  <dimension ref="A1:M44"/>
  <sheetViews>
    <sheetView workbookViewId="0"/>
  </sheetViews>
  <sheetFormatPr defaultRowHeight="16.5"/>
  <cols>
    <col min="1" max="1" width="11" customWidth="1"/>
    <col min="2" max="2" width="11.5" customWidth="1"/>
    <col min="3" max="3" width="12.75" customWidth="1"/>
    <col min="4" max="4" width="11.375" customWidth="1"/>
    <col min="5" max="5" width="9.75" customWidth="1"/>
    <col min="6" max="6" width="6.25" customWidth="1"/>
    <col min="7" max="7" width="12" customWidth="1"/>
    <col min="8" max="12" width="11.25" customWidth="1"/>
    <col min="17" max="18" width="8.875" bestFit="1" customWidth="1"/>
    <col min="19" max="20" width="9.25" bestFit="1" customWidth="1"/>
  </cols>
  <sheetData>
    <row r="1" spans="1:12">
      <c r="A1" s="6" t="s">
        <v>63</v>
      </c>
      <c r="B1" s="6"/>
      <c r="C1" s="6"/>
      <c r="D1" s="6"/>
      <c r="E1" s="6"/>
      <c r="F1" s="6"/>
      <c r="G1" s="6" t="s">
        <v>1</v>
      </c>
      <c r="H1" s="6"/>
      <c r="I1" s="6"/>
      <c r="J1" s="7"/>
      <c r="K1" s="6"/>
    </row>
    <row r="2" spans="1:12">
      <c r="A2" s="41" t="s">
        <v>64</v>
      </c>
      <c r="B2" s="41" t="s">
        <v>65</v>
      </c>
      <c r="C2" s="41" t="s">
        <v>66</v>
      </c>
      <c r="D2" s="41" t="s">
        <v>234</v>
      </c>
      <c r="E2" s="6"/>
      <c r="F2" s="6"/>
      <c r="G2" s="41" t="s">
        <v>2</v>
      </c>
      <c r="H2" s="41" t="s">
        <v>84</v>
      </c>
      <c r="I2" s="41" t="s">
        <v>85</v>
      </c>
      <c r="J2" s="41" t="s">
        <v>89</v>
      </c>
    </row>
    <row r="3" spans="1:12">
      <c r="A3" s="20" t="s">
        <v>67</v>
      </c>
      <c r="B3" s="19">
        <v>1500000</v>
      </c>
      <c r="C3" s="29">
        <v>44693</v>
      </c>
      <c r="D3" s="20"/>
      <c r="E3" s="6"/>
      <c r="F3" s="6"/>
      <c r="G3" s="8" t="s">
        <v>4</v>
      </c>
      <c r="H3" s="9" t="s">
        <v>86</v>
      </c>
      <c r="I3" s="40">
        <v>1</v>
      </c>
      <c r="J3" s="9"/>
    </row>
    <row r="4" spans="1:12">
      <c r="A4" s="20" t="s">
        <v>68</v>
      </c>
      <c r="B4" s="19">
        <v>800000</v>
      </c>
      <c r="C4" s="29">
        <v>44432</v>
      </c>
      <c r="D4" s="20"/>
      <c r="E4" s="6"/>
      <c r="F4" s="6"/>
      <c r="G4" s="8" t="s">
        <v>6</v>
      </c>
      <c r="H4" s="9" t="s">
        <v>87</v>
      </c>
      <c r="I4" s="40">
        <v>6</v>
      </c>
      <c r="J4" s="9"/>
    </row>
    <row r="5" spans="1:12">
      <c r="A5" s="20" t="s">
        <v>72</v>
      </c>
      <c r="B5" s="19">
        <v>2100000</v>
      </c>
      <c r="C5" s="29">
        <v>44986</v>
      </c>
      <c r="D5" s="20"/>
      <c r="E5" s="6"/>
      <c r="F5" s="6"/>
      <c r="G5" s="8" t="s">
        <v>7</v>
      </c>
      <c r="H5" s="9" t="s">
        <v>87</v>
      </c>
      <c r="I5" s="40">
        <v>6</v>
      </c>
      <c r="J5" s="9"/>
    </row>
    <row r="6" spans="1:12">
      <c r="A6" s="20" t="s">
        <v>69</v>
      </c>
      <c r="B6" s="19">
        <v>1200000</v>
      </c>
      <c r="C6" s="29">
        <v>44145</v>
      </c>
      <c r="D6" s="20"/>
      <c r="E6" s="6"/>
      <c r="F6" s="6"/>
      <c r="G6" s="8" t="s">
        <v>9</v>
      </c>
      <c r="H6" s="9" t="s">
        <v>86</v>
      </c>
      <c r="I6" s="40">
        <v>12</v>
      </c>
      <c r="J6" s="9"/>
    </row>
    <row r="7" spans="1:12">
      <c r="A7" s="20" t="s">
        <v>70</v>
      </c>
      <c r="B7" s="19">
        <v>950000</v>
      </c>
      <c r="C7" s="29">
        <v>45503</v>
      </c>
      <c r="D7" s="20"/>
      <c r="E7" s="6"/>
      <c r="F7" s="6"/>
      <c r="G7" s="8" t="s">
        <v>11</v>
      </c>
      <c r="H7" s="9" t="s">
        <v>87</v>
      </c>
      <c r="I7" s="40">
        <v>3</v>
      </c>
      <c r="J7" s="9"/>
    </row>
    <row r="8" spans="1:12">
      <c r="A8" s="20" t="s">
        <v>71</v>
      </c>
      <c r="B8" s="19">
        <v>3000000</v>
      </c>
      <c r="C8" s="29">
        <v>44956</v>
      </c>
      <c r="D8" s="20"/>
      <c r="E8" s="6"/>
      <c r="F8" s="6"/>
      <c r="G8" s="8" t="s">
        <v>13</v>
      </c>
      <c r="H8" s="9" t="s">
        <v>86</v>
      </c>
      <c r="I8" s="40">
        <v>3</v>
      </c>
      <c r="J8" s="9"/>
    </row>
    <row r="9" spans="1:12">
      <c r="A9" s="20" t="s">
        <v>73</v>
      </c>
      <c r="B9" s="19">
        <v>2500000</v>
      </c>
      <c r="C9" s="29">
        <v>44392</v>
      </c>
      <c r="D9" s="20"/>
      <c r="E9" s="6"/>
      <c r="F9" s="6"/>
      <c r="G9" s="8" t="s">
        <v>15</v>
      </c>
      <c r="H9" s="9" t="s">
        <v>83</v>
      </c>
      <c r="I9" s="40">
        <v>6</v>
      </c>
      <c r="J9" s="9"/>
    </row>
    <row r="10" spans="1:12">
      <c r="E10" s="3"/>
      <c r="F10" s="3"/>
      <c r="G10" s="10"/>
      <c r="H10" s="10"/>
      <c r="I10" s="11"/>
      <c r="J10" s="10"/>
      <c r="K10" s="3"/>
    </row>
    <row r="11" spans="1:12">
      <c r="A11" s="3"/>
      <c r="B11" s="3"/>
      <c r="C11" s="3"/>
      <c r="D11" s="3"/>
      <c r="E11" s="3"/>
      <c r="F11" s="3"/>
      <c r="G11" s="12" t="s">
        <v>90</v>
      </c>
      <c r="H11" s="13"/>
      <c r="I11" s="13"/>
      <c r="J11" s="13"/>
      <c r="K11" s="13"/>
      <c r="L11" s="13"/>
    </row>
    <row r="12" spans="1:12" ht="17.25" thickBot="1">
      <c r="A12" s="6" t="s">
        <v>122</v>
      </c>
      <c r="B12" s="6"/>
      <c r="C12" s="6"/>
      <c r="D12" s="6"/>
      <c r="E12" s="6"/>
      <c r="F12" s="6"/>
      <c r="G12" s="20" t="s">
        <v>18</v>
      </c>
      <c r="H12" s="39">
        <v>1</v>
      </c>
      <c r="I12" s="39">
        <v>3</v>
      </c>
      <c r="J12" s="39">
        <v>6</v>
      </c>
      <c r="K12" s="39">
        <v>12</v>
      </c>
    </row>
    <row r="13" spans="1:12">
      <c r="A13" s="41" t="s">
        <v>74</v>
      </c>
      <c r="B13" s="41" t="s">
        <v>75</v>
      </c>
      <c r="C13" s="41" t="s">
        <v>79</v>
      </c>
      <c r="D13" s="41" t="s">
        <v>78</v>
      </c>
      <c r="E13" s="6"/>
      <c r="F13" s="6"/>
      <c r="G13" s="38" t="s">
        <v>81</v>
      </c>
      <c r="H13" s="30">
        <v>15000</v>
      </c>
      <c r="I13" s="31">
        <v>40000</v>
      </c>
      <c r="J13" s="31">
        <v>75000</v>
      </c>
      <c r="K13" s="32">
        <v>140000</v>
      </c>
    </row>
    <row r="14" spans="1:12">
      <c r="A14" s="8" t="s">
        <v>5</v>
      </c>
      <c r="B14" s="8">
        <v>15</v>
      </c>
      <c r="C14" s="8">
        <v>2.5</v>
      </c>
      <c r="D14" s="8">
        <v>10</v>
      </c>
      <c r="E14" s="6"/>
      <c r="F14" s="6"/>
      <c r="G14" s="38" t="s">
        <v>82</v>
      </c>
      <c r="H14" s="33">
        <v>10000</v>
      </c>
      <c r="I14" s="18">
        <v>27000</v>
      </c>
      <c r="J14" s="18">
        <v>50000</v>
      </c>
      <c r="K14" s="34">
        <v>90000</v>
      </c>
    </row>
    <row r="15" spans="1:12" ht="17.25" thickBot="1">
      <c r="A15" s="8" t="s">
        <v>8</v>
      </c>
      <c r="B15" s="8">
        <v>22</v>
      </c>
      <c r="C15" s="8">
        <v>3.5</v>
      </c>
      <c r="D15" s="8">
        <v>80</v>
      </c>
      <c r="E15" s="6"/>
      <c r="F15" s="6"/>
      <c r="G15" s="38" t="s">
        <v>88</v>
      </c>
      <c r="H15" s="35">
        <v>25000</v>
      </c>
      <c r="I15" s="36">
        <v>65000</v>
      </c>
      <c r="J15" s="36">
        <v>120000</v>
      </c>
      <c r="K15" s="37">
        <v>220000</v>
      </c>
    </row>
    <row r="16" spans="1:12">
      <c r="A16" s="8" t="s">
        <v>14</v>
      </c>
      <c r="B16" s="8">
        <v>18</v>
      </c>
      <c r="C16" s="8">
        <v>2</v>
      </c>
      <c r="D16" s="8">
        <v>20</v>
      </c>
      <c r="E16" s="6"/>
      <c r="F16" s="6"/>
    </row>
    <row r="17" spans="1:11">
      <c r="A17" s="8" t="s">
        <v>10</v>
      </c>
      <c r="B17" s="8">
        <v>12</v>
      </c>
      <c r="C17" s="8">
        <v>4</v>
      </c>
      <c r="D17" s="8">
        <v>90</v>
      </c>
      <c r="E17" s="6"/>
      <c r="F17" s="6"/>
      <c r="G17" t="s">
        <v>16</v>
      </c>
    </row>
    <row r="18" spans="1:11">
      <c r="A18" s="8" t="s">
        <v>12</v>
      </c>
      <c r="B18" s="8">
        <v>24</v>
      </c>
      <c r="C18" s="8">
        <v>3</v>
      </c>
      <c r="D18" s="8">
        <v>5</v>
      </c>
      <c r="E18" s="6"/>
      <c r="F18" s="6"/>
      <c r="G18" s="50" t="s">
        <v>145</v>
      </c>
      <c r="H18" s="50" t="s">
        <v>125</v>
      </c>
      <c r="I18" s="50" t="s">
        <v>124</v>
      </c>
      <c r="J18" s="50" t="s">
        <v>144</v>
      </c>
      <c r="K18" s="50" t="s">
        <v>146</v>
      </c>
    </row>
    <row r="19" spans="1:11">
      <c r="A19" s="8" t="s">
        <v>76</v>
      </c>
      <c r="B19" s="8">
        <v>20</v>
      </c>
      <c r="C19" s="8">
        <v>3</v>
      </c>
      <c r="D19" s="8">
        <v>50</v>
      </c>
      <c r="E19" s="6"/>
      <c r="F19" s="6"/>
      <c r="G19" s="20" t="s">
        <v>140</v>
      </c>
      <c r="H19" s="20" t="s">
        <v>128</v>
      </c>
      <c r="I19" s="20">
        <v>75</v>
      </c>
      <c r="J19" s="20">
        <v>200</v>
      </c>
      <c r="K19" s="20"/>
    </row>
    <row r="20" spans="1:11">
      <c r="A20" s="8" t="s">
        <v>3</v>
      </c>
      <c r="B20" s="8">
        <v>27</v>
      </c>
      <c r="C20" s="8">
        <v>2.8</v>
      </c>
      <c r="D20" s="8">
        <v>75</v>
      </c>
      <c r="E20" s="6"/>
      <c r="F20" s="6"/>
      <c r="G20" s="20" t="s">
        <v>137</v>
      </c>
      <c r="H20" s="20" t="s">
        <v>129</v>
      </c>
      <c r="I20" s="20">
        <v>45</v>
      </c>
      <c r="J20" s="20">
        <v>30</v>
      </c>
      <c r="K20" s="20"/>
    </row>
    <row r="21" spans="1:11">
      <c r="A21" s="8" t="s">
        <v>77</v>
      </c>
      <c r="B21" s="8">
        <v>30</v>
      </c>
      <c r="C21" s="8">
        <v>4.5</v>
      </c>
      <c r="D21" s="8">
        <v>10</v>
      </c>
      <c r="E21" s="6"/>
      <c r="F21" s="6"/>
      <c r="G21" s="20" t="s">
        <v>138</v>
      </c>
      <c r="H21" s="20" t="s">
        <v>130</v>
      </c>
      <c r="I21" s="20">
        <v>58</v>
      </c>
      <c r="J21" s="20">
        <v>50</v>
      </c>
      <c r="K21" s="20"/>
    </row>
    <row r="22" spans="1:11">
      <c r="E22" s="6"/>
      <c r="F22" s="6"/>
      <c r="G22" s="20" t="s">
        <v>139</v>
      </c>
      <c r="H22" s="20" t="s">
        <v>131</v>
      </c>
      <c r="I22" s="20">
        <v>68</v>
      </c>
      <c r="J22" s="20">
        <v>100</v>
      </c>
      <c r="K22" s="20"/>
    </row>
    <row r="23" spans="1:11">
      <c r="B23" s="59" t="s">
        <v>80</v>
      </c>
      <c r="C23" s="60"/>
      <c r="D23" s="8"/>
      <c r="E23" s="14"/>
      <c r="F23" s="14"/>
      <c r="G23" s="20" t="s">
        <v>136</v>
      </c>
      <c r="H23" s="20" t="s">
        <v>132</v>
      </c>
      <c r="I23" s="20">
        <v>81</v>
      </c>
      <c r="J23" s="20">
        <v>250</v>
      </c>
      <c r="K23" s="20"/>
    </row>
    <row r="24" spans="1:11">
      <c r="B24" s="3"/>
      <c r="C24" s="3"/>
      <c r="D24" s="3"/>
      <c r="E24" s="3"/>
      <c r="F24" s="3"/>
      <c r="G24" s="45" t="s">
        <v>142</v>
      </c>
      <c r="H24" s="20" t="s">
        <v>133</v>
      </c>
      <c r="I24" s="20">
        <v>73</v>
      </c>
      <c r="J24" s="20">
        <v>10</v>
      </c>
      <c r="K24" s="20"/>
    </row>
    <row r="25" spans="1:11">
      <c r="A25" s="3"/>
      <c r="B25" s="3"/>
      <c r="C25" s="3"/>
      <c r="D25" s="3"/>
      <c r="E25" s="3"/>
      <c r="F25" s="3"/>
      <c r="G25" s="46" t="s">
        <v>141</v>
      </c>
      <c r="H25" s="20" t="s">
        <v>134</v>
      </c>
      <c r="I25" s="20">
        <v>48</v>
      </c>
      <c r="J25" s="20">
        <v>70</v>
      </c>
      <c r="K25" s="20"/>
    </row>
    <row r="26" spans="1:11">
      <c r="A26" s="6" t="s">
        <v>17</v>
      </c>
      <c r="B26" s="6"/>
      <c r="C26" s="6"/>
      <c r="D26" s="7"/>
      <c r="E26" s="6"/>
      <c r="F26" s="6"/>
      <c r="G26" s="20" t="s">
        <v>143</v>
      </c>
      <c r="H26" s="20" t="s">
        <v>135</v>
      </c>
      <c r="I26" s="20">
        <v>90</v>
      </c>
      <c r="J26" s="20">
        <v>40</v>
      </c>
      <c r="K26" s="20"/>
    </row>
    <row r="27" spans="1:11" ht="33">
      <c r="A27" s="41" t="s">
        <v>105</v>
      </c>
      <c r="B27" s="43" t="s">
        <v>120</v>
      </c>
      <c r="C27" s="41" t="s">
        <v>109</v>
      </c>
      <c r="D27" s="41" t="s">
        <v>119</v>
      </c>
      <c r="E27" s="41" t="s">
        <v>121</v>
      </c>
      <c r="F27" s="3"/>
    </row>
    <row r="28" spans="1:11">
      <c r="A28" s="8" t="s">
        <v>92</v>
      </c>
      <c r="B28" s="40">
        <v>0.05</v>
      </c>
      <c r="C28" s="9" t="s">
        <v>110</v>
      </c>
      <c r="D28" s="42">
        <v>0.9375</v>
      </c>
      <c r="E28" s="8"/>
      <c r="F28" s="44"/>
    </row>
    <row r="29" spans="1:11">
      <c r="A29" s="8" t="s">
        <v>94</v>
      </c>
      <c r="B29" s="40">
        <v>0.08</v>
      </c>
      <c r="C29" s="9" t="s">
        <v>111</v>
      </c>
      <c r="D29" s="42">
        <v>0.96527777777777779</v>
      </c>
      <c r="E29" s="8"/>
      <c r="F29" s="44"/>
    </row>
    <row r="30" spans="1:11">
      <c r="A30" s="8" t="s">
        <v>96</v>
      </c>
      <c r="B30" s="40">
        <v>0.03</v>
      </c>
      <c r="C30" s="9" t="s">
        <v>112</v>
      </c>
      <c r="D30" s="42">
        <v>0.90625</v>
      </c>
      <c r="E30" s="8"/>
      <c r="F30" s="44"/>
    </row>
    <row r="31" spans="1:11">
      <c r="A31" s="8" t="s">
        <v>98</v>
      </c>
      <c r="B31" s="40">
        <v>0.12</v>
      </c>
      <c r="C31" s="9" t="s">
        <v>113</v>
      </c>
      <c r="D31" s="42">
        <v>1.0416666666666666E-2</v>
      </c>
      <c r="E31" s="8"/>
      <c r="F31" s="44"/>
    </row>
    <row r="32" spans="1:11">
      <c r="A32" s="8" t="s">
        <v>100</v>
      </c>
      <c r="B32" s="40">
        <v>0.15</v>
      </c>
      <c r="C32" s="9" t="s">
        <v>114</v>
      </c>
      <c r="D32" s="42">
        <v>6.25E-2</v>
      </c>
      <c r="E32" s="8"/>
      <c r="F32" s="44"/>
    </row>
    <row r="33" spans="1:13">
      <c r="A33" s="8" t="s">
        <v>104</v>
      </c>
      <c r="B33" s="40">
        <v>0.02</v>
      </c>
      <c r="C33" s="9" t="s">
        <v>115</v>
      </c>
      <c r="D33" s="42">
        <v>0.87152777777777779</v>
      </c>
      <c r="E33" s="8"/>
      <c r="F33" s="44"/>
    </row>
    <row r="34" spans="1:13">
      <c r="A34" s="8" t="s">
        <v>103</v>
      </c>
      <c r="B34" s="40">
        <v>0.1</v>
      </c>
      <c r="C34" s="9" t="s">
        <v>116</v>
      </c>
      <c r="D34" s="42">
        <v>8.3333333333333329E-2</v>
      </c>
      <c r="E34" s="8"/>
      <c r="F34" s="44"/>
    </row>
    <row r="35" spans="1:13">
      <c r="A35" s="8" t="s">
        <v>106</v>
      </c>
      <c r="B35" s="40">
        <v>0.25</v>
      </c>
      <c r="C35" s="9" t="s">
        <v>117</v>
      </c>
      <c r="D35" s="42">
        <v>0.91666666666666663</v>
      </c>
      <c r="E35" s="8"/>
      <c r="F35" s="44"/>
    </row>
    <row r="36" spans="1:13">
      <c r="A36" s="8" t="s">
        <v>108</v>
      </c>
      <c r="B36" s="40">
        <v>0.2</v>
      </c>
      <c r="C36" s="9" t="s">
        <v>118</v>
      </c>
      <c r="D36" s="42">
        <v>0.98958333333333337</v>
      </c>
      <c r="E36" s="8"/>
      <c r="F36" s="44"/>
    </row>
    <row r="38" spans="1:13">
      <c r="H38" s="10"/>
    </row>
    <row r="43" spans="1:13">
      <c r="I43" s="6"/>
    </row>
    <row r="44" spans="1:13">
      <c r="J44" s="6"/>
      <c r="K44" s="6"/>
      <c r="L44" s="6"/>
      <c r="M44" s="3"/>
    </row>
  </sheetData>
  <mergeCells count="1">
    <mergeCell ref="B23:C23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B260D-7B25-4098-8FA5-EBA89E7CF69E}">
  <sheetPr codeName="Sheet6"/>
  <dimension ref="A1:H27"/>
  <sheetViews>
    <sheetView workbookViewId="0"/>
  </sheetViews>
  <sheetFormatPr defaultRowHeight="16.5"/>
  <cols>
    <col min="1" max="1" width="10.375" customWidth="1"/>
    <col min="2" max="3" width="12.625" style="17" customWidth="1"/>
    <col min="4" max="4" width="15.75" customWidth="1"/>
    <col min="5" max="5" width="16.25" customWidth="1"/>
    <col min="6" max="8" width="12.625" style="17" customWidth="1"/>
  </cols>
  <sheetData>
    <row r="1" spans="1:8" ht="20.25">
      <c r="A1" s="54" t="s">
        <v>191</v>
      </c>
      <c r="B1"/>
      <c r="C1"/>
      <c r="F1"/>
      <c r="G1"/>
      <c r="H1"/>
    </row>
    <row r="2" spans="1:8">
      <c r="B2"/>
      <c r="C2"/>
      <c r="F2"/>
      <c r="G2"/>
      <c r="H2"/>
    </row>
    <row r="3" spans="1:8">
      <c r="A3" s="51" t="s">
        <v>167</v>
      </c>
      <c r="B3" s="51" t="s">
        <v>43</v>
      </c>
      <c r="C3" s="51" t="s">
        <v>195</v>
      </c>
      <c r="D3" s="51" t="s">
        <v>192</v>
      </c>
      <c r="E3" s="51" t="s">
        <v>193</v>
      </c>
      <c r="F3" s="51" t="s">
        <v>168</v>
      </c>
      <c r="G3" s="51" t="s">
        <v>196</v>
      </c>
      <c r="H3" s="51" t="s">
        <v>197</v>
      </c>
    </row>
    <row r="4" spans="1:8">
      <c r="A4" s="23" t="s">
        <v>169</v>
      </c>
      <c r="B4" s="23" t="s">
        <v>47</v>
      </c>
      <c r="C4" s="23" t="s">
        <v>170</v>
      </c>
      <c r="D4" s="23">
        <v>1.2</v>
      </c>
      <c r="E4" s="23" t="s">
        <v>171</v>
      </c>
      <c r="F4" s="23" t="s">
        <v>172</v>
      </c>
      <c r="G4" s="23">
        <v>6.8</v>
      </c>
      <c r="H4" s="23" t="s">
        <v>173</v>
      </c>
    </row>
    <row r="5" spans="1:8">
      <c r="A5" s="23" t="s">
        <v>174</v>
      </c>
      <c r="B5" s="23" t="s">
        <v>48</v>
      </c>
      <c r="C5" s="23" t="s">
        <v>175</v>
      </c>
      <c r="D5" s="23">
        <v>0.05</v>
      </c>
      <c r="E5" s="23" t="s">
        <v>176</v>
      </c>
      <c r="F5" s="23" t="s">
        <v>177</v>
      </c>
      <c r="G5" s="23">
        <v>7.1</v>
      </c>
      <c r="H5" s="23" t="s">
        <v>178</v>
      </c>
    </row>
    <row r="6" spans="1:8">
      <c r="A6" s="23" t="s">
        <v>179</v>
      </c>
      <c r="B6" s="23" t="s">
        <v>49</v>
      </c>
      <c r="C6" s="23" t="s">
        <v>180</v>
      </c>
      <c r="D6" s="23">
        <v>0.8</v>
      </c>
      <c r="E6" s="23" t="s">
        <v>171</v>
      </c>
      <c r="F6" s="23" t="s">
        <v>172</v>
      </c>
      <c r="G6" s="23">
        <v>6.5</v>
      </c>
      <c r="H6" s="23" t="s">
        <v>173</v>
      </c>
    </row>
    <row r="7" spans="1:8">
      <c r="A7" s="23" t="s">
        <v>181</v>
      </c>
      <c r="B7" s="23" t="s">
        <v>47</v>
      </c>
      <c r="C7" s="23" t="s">
        <v>182</v>
      </c>
      <c r="D7" s="23">
        <v>3</v>
      </c>
      <c r="E7" s="23" t="s">
        <v>171</v>
      </c>
      <c r="F7" s="23" t="s">
        <v>177</v>
      </c>
      <c r="G7" s="23">
        <v>6.9</v>
      </c>
      <c r="H7" s="23" t="s">
        <v>173</v>
      </c>
    </row>
    <row r="8" spans="1:8">
      <c r="A8" s="23" t="s">
        <v>183</v>
      </c>
      <c r="B8" s="23" t="s">
        <v>51</v>
      </c>
      <c r="C8" s="23" t="s">
        <v>170</v>
      </c>
      <c r="D8" s="23">
        <v>0.5</v>
      </c>
      <c r="E8" s="23" t="s">
        <v>176</v>
      </c>
      <c r="F8" s="23" t="s">
        <v>172</v>
      </c>
      <c r="G8" s="23">
        <v>7.2</v>
      </c>
      <c r="H8" s="23" t="s">
        <v>178</v>
      </c>
    </row>
    <row r="9" spans="1:8">
      <c r="A9" s="23" t="s">
        <v>184</v>
      </c>
      <c r="B9" s="23" t="s">
        <v>49</v>
      </c>
      <c r="C9" s="23" t="s">
        <v>175</v>
      </c>
      <c r="D9" s="23">
        <v>0.01</v>
      </c>
      <c r="E9" s="23" t="s">
        <v>176</v>
      </c>
      <c r="F9" s="23" t="s">
        <v>177</v>
      </c>
      <c r="G9" s="23">
        <v>7.4</v>
      </c>
      <c r="H9" s="23" t="s">
        <v>178</v>
      </c>
    </row>
    <row r="10" spans="1:8">
      <c r="A10" s="23" t="s">
        <v>185</v>
      </c>
      <c r="B10" s="23" t="s">
        <v>48</v>
      </c>
      <c r="C10" s="23" t="s">
        <v>180</v>
      </c>
      <c r="D10" s="23">
        <v>1.1000000000000001</v>
      </c>
      <c r="E10" s="23" t="s">
        <v>171</v>
      </c>
      <c r="F10" s="23" t="s">
        <v>172</v>
      </c>
      <c r="G10" s="23">
        <v>6.7</v>
      </c>
      <c r="H10" s="23" t="s">
        <v>173</v>
      </c>
    </row>
    <row r="11" spans="1:8">
      <c r="A11" s="23" t="s">
        <v>186</v>
      </c>
      <c r="B11" s="23" t="s">
        <v>47</v>
      </c>
      <c r="C11" s="23" t="s">
        <v>182</v>
      </c>
      <c r="D11" s="23">
        <v>4</v>
      </c>
      <c r="E11" s="23" t="s">
        <v>171</v>
      </c>
      <c r="F11" s="23" t="s">
        <v>177</v>
      </c>
      <c r="G11" s="23">
        <v>6.5</v>
      </c>
      <c r="H11" s="23" t="s">
        <v>173</v>
      </c>
    </row>
    <row r="12" spans="1:8">
      <c r="A12" s="23" t="s">
        <v>187</v>
      </c>
      <c r="B12" s="23" t="s">
        <v>51</v>
      </c>
      <c r="C12" s="23" t="s">
        <v>170</v>
      </c>
      <c r="D12" s="23">
        <v>0.7</v>
      </c>
      <c r="E12" s="23" t="s">
        <v>176</v>
      </c>
      <c r="F12" s="23" t="s">
        <v>172</v>
      </c>
      <c r="G12" s="23">
        <v>7</v>
      </c>
      <c r="H12" s="23" t="s">
        <v>178</v>
      </c>
    </row>
    <row r="13" spans="1:8">
      <c r="A13" s="23" t="s">
        <v>188</v>
      </c>
      <c r="B13" s="23" t="s">
        <v>49</v>
      </c>
      <c r="C13" s="23" t="s">
        <v>175</v>
      </c>
      <c r="D13" s="23">
        <v>0.03</v>
      </c>
      <c r="E13" s="23" t="s">
        <v>176</v>
      </c>
      <c r="F13" s="23" t="s">
        <v>177</v>
      </c>
      <c r="G13" s="23">
        <v>7.3</v>
      </c>
      <c r="H13" s="23" t="s">
        <v>178</v>
      </c>
    </row>
    <row r="14" spans="1:8">
      <c r="A14" s="23" t="s">
        <v>189</v>
      </c>
      <c r="B14" s="23" t="s">
        <v>48</v>
      </c>
      <c r="C14" s="23" t="s">
        <v>180</v>
      </c>
      <c r="D14" s="23">
        <v>0.9</v>
      </c>
      <c r="E14" s="23" t="s">
        <v>171</v>
      </c>
      <c r="F14" s="23" t="s">
        <v>172</v>
      </c>
      <c r="G14" s="23">
        <v>6.8</v>
      </c>
      <c r="H14" s="23" t="s">
        <v>173</v>
      </c>
    </row>
    <row r="15" spans="1:8">
      <c r="A15" s="23" t="s">
        <v>190</v>
      </c>
      <c r="B15" s="23" t="s">
        <v>47</v>
      </c>
      <c r="C15" s="23" t="s">
        <v>182</v>
      </c>
      <c r="D15" s="23">
        <v>2.5</v>
      </c>
      <c r="E15" s="23" t="s">
        <v>171</v>
      </c>
      <c r="F15" s="23" t="s">
        <v>177</v>
      </c>
      <c r="G15" s="23">
        <v>6.6</v>
      </c>
      <c r="H15" s="23" t="s">
        <v>173</v>
      </c>
    </row>
    <row r="16" spans="1:8">
      <c r="B16"/>
      <c r="C16"/>
      <c r="F16"/>
      <c r="G16"/>
      <c r="H16"/>
    </row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</sheetData>
  <sortState xmlns:xlrd2="http://schemas.microsoft.com/office/spreadsheetml/2017/richdata2" ref="A4:H15">
    <sortCondition ref="A4:A15"/>
  </sortState>
  <dataConsolidate topLabels="1">
    <dataRefs count="3">
      <dataRef ref="A4:D8" sheet="분석작업-1"/>
      <dataRef ref="A11:D15" sheet="분석작업-1"/>
      <dataRef ref="A18:D22" sheet="분석작업-1"/>
    </dataRefs>
  </dataConsolidate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7A892-2766-4EB1-B841-6F5C5750B8C1}">
  <sheetPr codeName="Sheet5"/>
  <dimension ref="A1:G15"/>
  <sheetViews>
    <sheetView workbookViewId="0"/>
  </sheetViews>
  <sheetFormatPr defaultRowHeight="16.5"/>
  <cols>
    <col min="1" max="1" width="9.375" customWidth="1"/>
    <col min="2" max="2" width="11.25" bestFit="1" customWidth="1"/>
    <col min="3" max="3" width="9.375" customWidth="1"/>
    <col min="4" max="4" width="12.25" customWidth="1"/>
    <col min="5" max="5" width="10.375" bestFit="1" customWidth="1"/>
    <col min="6" max="6" width="13" bestFit="1" customWidth="1"/>
    <col min="7" max="7" width="12.75" customWidth="1"/>
    <col min="9" max="9" width="15.5" bestFit="1" customWidth="1"/>
    <col min="10" max="10" width="15.25" bestFit="1" customWidth="1"/>
    <col min="11" max="12" width="11.25" bestFit="1" customWidth="1"/>
    <col min="13" max="13" width="7.5" bestFit="1" customWidth="1"/>
    <col min="14" max="14" width="20.75" bestFit="1" customWidth="1"/>
    <col min="15" max="15" width="23.375" bestFit="1" customWidth="1"/>
  </cols>
  <sheetData>
    <row r="1" spans="1:7" ht="25.15" customHeight="1">
      <c r="A1" s="49" t="s">
        <v>238</v>
      </c>
      <c r="B1" s="16"/>
      <c r="C1" s="16"/>
      <c r="D1" s="16"/>
      <c r="E1" s="16"/>
      <c r="F1" s="16"/>
      <c r="G1" s="48"/>
    </row>
    <row r="2" spans="1:7">
      <c r="A2" s="3"/>
      <c r="B2" s="3"/>
      <c r="C2" s="3"/>
      <c r="D2" s="3"/>
      <c r="E2" s="3"/>
    </row>
    <row r="3" spans="1:7">
      <c r="A3" s="50" t="s">
        <v>123</v>
      </c>
      <c r="B3" s="50" t="s">
        <v>147</v>
      </c>
      <c r="C3" s="50" t="s">
        <v>43</v>
      </c>
      <c r="D3" s="50" t="s">
        <v>148</v>
      </c>
      <c r="E3" s="50" t="s">
        <v>144</v>
      </c>
      <c r="F3" s="50" t="s">
        <v>126</v>
      </c>
      <c r="G3" s="50" t="s">
        <v>160</v>
      </c>
    </row>
    <row r="4" spans="1:7">
      <c r="A4" s="20" t="s">
        <v>127</v>
      </c>
      <c r="B4" s="20" t="s">
        <v>91</v>
      </c>
      <c r="C4" s="20" t="s">
        <v>47</v>
      </c>
      <c r="D4" s="29">
        <v>46082</v>
      </c>
      <c r="E4" s="5">
        <v>20</v>
      </c>
      <c r="F4" s="18">
        <v>12000</v>
      </c>
      <c r="G4" s="20" t="s">
        <v>161</v>
      </c>
    </row>
    <row r="5" spans="1:7">
      <c r="A5" s="20" t="s">
        <v>149</v>
      </c>
      <c r="B5" s="20" t="s">
        <v>93</v>
      </c>
      <c r="C5" s="20" t="s">
        <v>48</v>
      </c>
      <c r="D5" s="29">
        <v>46083</v>
      </c>
      <c r="E5" s="5">
        <v>35</v>
      </c>
      <c r="F5" s="18">
        <v>21000</v>
      </c>
      <c r="G5" s="20" t="s">
        <v>161</v>
      </c>
    </row>
    <row r="6" spans="1:7">
      <c r="A6" s="20" t="s">
        <v>150</v>
      </c>
      <c r="B6" s="20" t="s">
        <v>95</v>
      </c>
      <c r="C6" s="20" t="s">
        <v>49</v>
      </c>
      <c r="D6" s="29">
        <v>46084</v>
      </c>
      <c r="E6" s="5">
        <v>40</v>
      </c>
      <c r="F6" s="18">
        <v>24000</v>
      </c>
      <c r="G6" s="20" t="s">
        <v>161</v>
      </c>
    </row>
    <row r="7" spans="1:7">
      <c r="A7" s="20" t="s">
        <v>151</v>
      </c>
      <c r="B7" s="20" t="s">
        <v>97</v>
      </c>
      <c r="C7" s="20" t="s">
        <v>47</v>
      </c>
      <c r="D7" s="29">
        <v>46085</v>
      </c>
      <c r="E7" s="5">
        <v>50</v>
      </c>
      <c r="F7" s="18">
        <v>30000</v>
      </c>
      <c r="G7" s="20" t="s">
        <v>162</v>
      </c>
    </row>
    <row r="8" spans="1:7">
      <c r="A8" s="20" t="s">
        <v>152</v>
      </c>
      <c r="B8" s="20" t="s">
        <v>99</v>
      </c>
      <c r="C8" s="20" t="s">
        <v>51</v>
      </c>
      <c r="D8" s="29">
        <v>46086</v>
      </c>
      <c r="E8" s="5">
        <v>25</v>
      </c>
      <c r="F8" s="18">
        <v>15000</v>
      </c>
      <c r="G8" s="20" t="s">
        <v>161</v>
      </c>
    </row>
    <row r="9" spans="1:7">
      <c r="A9" s="20" t="s">
        <v>153</v>
      </c>
      <c r="B9" s="20" t="s">
        <v>101</v>
      </c>
      <c r="C9" s="20" t="s">
        <v>49</v>
      </c>
      <c r="D9" s="29">
        <v>46087</v>
      </c>
      <c r="E9" s="5">
        <v>30</v>
      </c>
      <c r="F9" s="18">
        <v>18000</v>
      </c>
      <c r="G9" s="20" t="s">
        <v>162</v>
      </c>
    </row>
    <row r="10" spans="1:7">
      <c r="A10" s="20" t="s">
        <v>154</v>
      </c>
      <c r="B10" s="20" t="s">
        <v>102</v>
      </c>
      <c r="C10" s="20" t="s">
        <v>48</v>
      </c>
      <c r="D10" s="29">
        <v>46088</v>
      </c>
      <c r="E10" s="5">
        <v>60</v>
      </c>
      <c r="F10" s="18">
        <v>36000</v>
      </c>
      <c r="G10" s="20" t="s">
        <v>161</v>
      </c>
    </row>
    <row r="11" spans="1:7">
      <c r="A11" s="20" t="s">
        <v>155</v>
      </c>
      <c r="B11" s="20" t="s">
        <v>156</v>
      </c>
      <c r="C11" s="20" t="s">
        <v>47</v>
      </c>
      <c r="D11" s="29">
        <v>46089</v>
      </c>
      <c r="E11" s="5">
        <v>15</v>
      </c>
      <c r="F11" s="18">
        <v>9000</v>
      </c>
      <c r="G11" s="20" t="s">
        <v>162</v>
      </c>
    </row>
    <row r="12" spans="1:7">
      <c r="A12" s="20" t="s">
        <v>157</v>
      </c>
      <c r="B12" s="20" t="s">
        <v>158</v>
      </c>
      <c r="C12" s="20" t="s">
        <v>51</v>
      </c>
      <c r="D12" s="29">
        <v>46090</v>
      </c>
      <c r="E12" s="5">
        <v>45</v>
      </c>
      <c r="F12" s="18">
        <v>27000</v>
      </c>
      <c r="G12" s="20" t="s">
        <v>161</v>
      </c>
    </row>
    <row r="13" spans="1:7">
      <c r="A13" s="20" t="s">
        <v>159</v>
      </c>
      <c r="B13" s="20" t="s">
        <v>107</v>
      </c>
      <c r="C13" s="20" t="s">
        <v>47</v>
      </c>
      <c r="D13" s="29">
        <v>46091</v>
      </c>
      <c r="E13" s="5">
        <v>55</v>
      </c>
      <c r="F13" s="18">
        <v>33000</v>
      </c>
      <c r="G13" s="20" t="s">
        <v>162</v>
      </c>
    </row>
    <row r="14" spans="1:7">
      <c r="A14" s="20" t="s">
        <v>163</v>
      </c>
      <c r="B14" s="20" t="s">
        <v>164</v>
      </c>
      <c r="C14" s="20" t="s">
        <v>48</v>
      </c>
      <c r="D14" s="29">
        <v>46092</v>
      </c>
      <c r="E14" s="5">
        <v>30</v>
      </c>
      <c r="F14" s="18">
        <v>18000</v>
      </c>
      <c r="G14" s="20" t="s">
        <v>162</v>
      </c>
    </row>
    <row r="15" spans="1:7">
      <c r="A15" s="20" t="s">
        <v>165</v>
      </c>
      <c r="B15" s="20" t="s">
        <v>166</v>
      </c>
      <c r="C15" s="20" t="s">
        <v>49</v>
      </c>
      <c r="D15" s="29">
        <v>46093</v>
      </c>
      <c r="E15" s="5">
        <v>20</v>
      </c>
      <c r="F15" s="18">
        <v>12000</v>
      </c>
      <c r="G15" s="20" t="s">
        <v>162</v>
      </c>
    </row>
  </sheetData>
  <sortState xmlns:xlrd2="http://schemas.microsoft.com/office/spreadsheetml/2017/richdata2" ref="A4:F12">
    <sortCondition ref="A4:A12"/>
  </sortState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717A9-72A7-4162-A0F4-10D92AE87FDB}">
  <sheetPr codeName="Sheet7"/>
  <dimension ref="A1:F15"/>
  <sheetViews>
    <sheetView workbookViewId="0"/>
  </sheetViews>
  <sheetFormatPr defaultRowHeight="16.5"/>
  <cols>
    <col min="1" max="4" width="12.625" customWidth="1"/>
    <col min="5" max="5" width="9.5" customWidth="1"/>
    <col min="6" max="6" width="11.25" customWidth="1"/>
  </cols>
  <sheetData>
    <row r="1" spans="1:6" ht="26.25">
      <c r="A1" s="2" t="s">
        <v>232</v>
      </c>
      <c r="B1" s="2"/>
      <c r="C1" s="2"/>
      <c r="D1" s="2"/>
      <c r="E1" s="2"/>
    </row>
    <row r="2" spans="1:6">
      <c r="A2" s="3"/>
      <c r="B2" s="3"/>
      <c r="C2" s="3"/>
      <c r="D2" s="3"/>
    </row>
    <row r="3" spans="1:6" ht="17.45" customHeight="1">
      <c r="A3" s="55" t="s">
        <v>198</v>
      </c>
      <c r="B3" s="56" t="s">
        <v>216</v>
      </c>
      <c r="C3" s="57" t="s">
        <v>199</v>
      </c>
      <c r="D3" s="57" t="s">
        <v>217</v>
      </c>
      <c r="E3" s="55" t="s">
        <v>200</v>
      </c>
      <c r="F3" s="58" t="s">
        <v>215</v>
      </c>
    </row>
    <row r="4" spans="1:6" ht="17.45" customHeight="1">
      <c r="A4" s="55" t="s">
        <v>201</v>
      </c>
      <c r="B4" s="56">
        <v>15</v>
      </c>
      <c r="C4" s="57">
        <v>0.60555555555555551</v>
      </c>
      <c r="D4" s="57">
        <v>0.84513888888888899</v>
      </c>
      <c r="E4" s="55" t="s">
        <v>202</v>
      </c>
      <c r="F4" s="58"/>
    </row>
    <row r="5" spans="1:6" ht="17.45" customHeight="1">
      <c r="A5" s="23" t="s">
        <v>203</v>
      </c>
      <c r="B5" s="52">
        <v>4</v>
      </c>
      <c r="C5" s="27">
        <v>0.34375</v>
      </c>
      <c r="D5" s="27">
        <v>0.44791666666666669</v>
      </c>
      <c r="E5" s="23" t="s">
        <v>204</v>
      </c>
      <c r="F5" s="58"/>
    </row>
    <row r="6" spans="1:6" ht="17.45" customHeight="1">
      <c r="A6" s="23" t="s">
        <v>205</v>
      </c>
      <c r="B6" s="52">
        <v>14</v>
      </c>
      <c r="C6" s="27">
        <v>0.40277777777777773</v>
      </c>
      <c r="D6" s="27">
        <v>0.84722222222222221</v>
      </c>
      <c r="E6" s="23" t="s">
        <v>202</v>
      </c>
      <c r="F6" s="58"/>
    </row>
    <row r="7" spans="1:6" ht="17.45" customHeight="1">
      <c r="A7" s="23" t="s">
        <v>206</v>
      </c>
      <c r="B7" s="52">
        <v>5</v>
      </c>
      <c r="C7" s="27">
        <v>4.5138888888888888E-2</v>
      </c>
      <c r="D7" s="27">
        <v>0.90277777777777779</v>
      </c>
      <c r="E7" s="23" t="s">
        <v>204</v>
      </c>
      <c r="F7" s="58"/>
    </row>
    <row r="8" spans="1:6" ht="17.45" customHeight="1">
      <c r="A8" s="23" t="s">
        <v>207</v>
      </c>
      <c r="B8" s="52">
        <v>16</v>
      </c>
      <c r="C8" s="27">
        <v>0.11805555555555557</v>
      </c>
      <c r="D8" s="27">
        <v>0.31944444444444448</v>
      </c>
      <c r="E8" s="23" t="s">
        <v>202</v>
      </c>
      <c r="F8" s="58"/>
    </row>
    <row r="9" spans="1:6" ht="17.45" customHeight="1">
      <c r="A9" s="23" t="s">
        <v>208</v>
      </c>
      <c r="B9" s="52">
        <v>3</v>
      </c>
      <c r="C9" s="27">
        <v>0.14583333333333334</v>
      </c>
      <c r="D9" s="27">
        <v>0.3298611111111111</v>
      </c>
      <c r="E9" s="23" t="s">
        <v>204</v>
      </c>
      <c r="F9" s="58"/>
    </row>
    <row r="10" spans="1:6" ht="17.45" customHeight="1">
      <c r="A10" s="23" t="s">
        <v>209</v>
      </c>
      <c r="B10" s="52">
        <v>24</v>
      </c>
      <c r="C10" s="27">
        <v>9.7222222222222224E-2</v>
      </c>
      <c r="D10" s="27">
        <v>0.63888888888888895</v>
      </c>
      <c r="E10" s="23" t="s">
        <v>202</v>
      </c>
      <c r="F10" s="58"/>
    </row>
    <row r="11" spans="1:6" ht="17.45" customHeight="1">
      <c r="A11" s="23" t="s">
        <v>210</v>
      </c>
      <c r="B11" s="52">
        <v>5</v>
      </c>
      <c r="C11" s="27">
        <v>0.54513888888888895</v>
      </c>
      <c r="D11" s="27">
        <v>0.93958333333333333</v>
      </c>
      <c r="E11" s="23" t="s">
        <v>204</v>
      </c>
      <c r="F11" s="58"/>
    </row>
    <row r="12" spans="1:6" ht="17.45" customHeight="1">
      <c r="A12" s="23" t="s">
        <v>211</v>
      </c>
      <c r="B12" s="52">
        <v>13</v>
      </c>
      <c r="C12" s="27">
        <v>0.12847222222222224</v>
      </c>
      <c r="D12" s="27">
        <v>0.72916666666666663</v>
      </c>
      <c r="E12" s="23" t="s">
        <v>202</v>
      </c>
      <c r="F12" s="58"/>
    </row>
    <row r="13" spans="1:6" ht="17.45" customHeight="1">
      <c r="A13" s="23" t="s">
        <v>212</v>
      </c>
      <c r="B13" s="52">
        <v>7</v>
      </c>
      <c r="C13" s="27">
        <v>0.3125</v>
      </c>
      <c r="D13" s="27">
        <v>0.41805555555555557</v>
      </c>
      <c r="E13" s="23" t="s">
        <v>204</v>
      </c>
      <c r="F13" s="58"/>
    </row>
    <row r="14" spans="1:6" ht="17.45" customHeight="1">
      <c r="A14" s="23" t="s">
        <v>213</v>
      </c>
      <c r="B14" s="52">
        <v>12</v>
      </c>
      <c r="C14" s="27">
        <v>0.11805555555555557</v>
      </c>
      <c r="D14" s="27">
        <v>0.65277777777777779</v>
      </c>
      <c r="E14" s="23" t="s">
        <v>202</v>
      </c>
      <c r="F14" s="58"/>
    </row>
    <row r="15" spans="1:6" ht="17.45" customHeight="1">
      <c r="A15" s="23" t="s">
        <v>214</v>
      </c>
      <c r="B15" s="52">
        <v>4</v>
      </c>
      <c r="C15" s="27">
        <v>0.55555555555555558</v>
      </c>
      <c r="D15" s="27">
        <v>0.66319444444444442</v>
      </c>
      <c r="E15" s="23" t="s">
        <v>204</v>
      </c>
      <c r="F15" s="58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165CE-BBB4-4FB9-A2FB-E718A259B54D}">
  <dimension ref="B1:G12"/>
  <sheetViews>
    <sheetView workbookViewId="0"/>
  </sheetViews>
  <sheetFormatPr defaultRowHeight="16.5"/>
  <cols>
    <col min="1" max="1" width="5.75" customWidth="1"/>
    <col min="2" max="2" width="15.5" customWidth="1"/>
    <col min="3" max="6" width="11.25" customWidth="1"/>
    <col min="7" max="7" width="12.375" customWidth="1"/>
  </cols>
  <sheetData>
    <row r="1" spans="2:7" ht="20.25">
      <c r="B1" s="53" t="s">
        <v>231</v>
      </c>
    </row>
    <row r="3" spans="2:7">
      <c r="G3" s="1" t="s">
        <v>230</v>
      </c>
    </row>
    <row r="4" spans="2:7">
      <c r="B4" s="47" t="s">
        <v>194</v>
      </c>
      <c r="C4" s="47" t="s">
        <v>226</v>
      </c>
      <c r="D4" s="47" t="s">
        <v>227</v>
      </c>
      <c r="E4" s="47" t="s">
        <v>228</v>
      </c>
      <c r="F4" s="47" t="s">
        <v>229</v>
      </c>
      <c r="G4" s="47" t="s">
        <v>233</v>
      </c>
    </row>
    <row r="5" spans="2:7">
      <c r="B5" s="20" t="s">
        <v>221</v>
      </c>
      <c r="C5" s="15">
        <v>61.6</v>
      </c>
      <c r="D5" s="15">
        <v>96.9</v>
      </c>
      <c r="E5" s="15">
        <v>60.3</v>
      </c>
      <c r="F5" s="15">
        <v>42</v>
      </c>
      <c r="G5" s="15">
        <v>44.6</v>
      </c>
    </row>
    <row r="6" spans="2:7">
      <c r="B6" s="20" t="s">
        <v>224</v>
      </c>
      <c r="C6" s="15">
        <v>2.1</v>
      </c>
      <c r="D6" s="15">
        <v>4.3</v>
      </c>
      <c r="E6" s="15">
        <v>4.8</v>
      </c>
      <c r="F6" s="15">
        <v>4.5999999999999996</v>
      </c>
      <c r="G6" s="15">
        <v>2.9</v>
      </c>
    </row>
    <row r="7" spans="2:7">
      <c r="B7" s="20" t="s">
        <v>225</v>
      </c>
      <c r="C7" s="15">
        <v>0</v>
      </c>
      <c r="D7" s="15">
        <v>0</v>
      </c>
      <c r="E7" s="15">
        <v>0.4</v>
      </c>
      <c r="F7" s="15">
        <v>0</v>
      </c>
      <c r="G7" s="15">
        <v>0</v>
      </c>
    </row>
    <row r="8" spans="2:7">
      <c r="B8" s="20" t="s">
        <v>223</v>
      </c>
      <c r="C8" s="15">
        <v>39.1</v>
      </c>
      <c r="D8" s="15">
        <v>49.8</v>
      </c>
      <c r="E8" s="15">
        <v>64.7</v>
      </c>
      <c r="F8" s="15">
        <v>73.5</v>
      </c>
      <c r="G8" s="15">
        <v>70.599999999999994</v>
      </c>
    </row>
    <row r="9" spans="2:7">
      <c r="B9" s="20" t="s">
        <v>222</v>
      </c>
      <c r="C9" s="15">
        <v>67.2</v>
      </c>
      <c r="D9" s="15">
        <v>66.900000000000006</v>
      </c>
      <c r="E9" s="15">
        <v>81.900000000000006</v>
      </c>
      <c r="F9" s="15">
        <v>11.8</v>
      </c>
      <c r="G9" s="15">
        <v>3</v>
      </c>
    </row>
    <row r="10" spans="2:7">
      <c r="B10" s="20" t="s">
        <v>219</v>
      </c>
      <c r="C10" s="15">
        <v>4.7</v>
      </c>
      <c r="D10" s="15">
        <v>89</v>
      </c>
      <c r="E10" s="15">
        <v>66</v>
      </c>
      <c r="F10" s="15">
        <v>9</v>
      </c>
      <c r="G10" s="15">
        <v>140.80000000000001</v>
      </c>
    </row>
    <row r="11" spans="2:7">
      <c r="B11" s="20" t="s">
        <v>220</v>
      </c>
      <c r="C11" s="15">
        <v>83.2</v>
      </c>
      <c r="D11" s="15">
        <v>101</v>
      </c>
      <c r="E11" s="15">
        <v>142</v>
      </c>
      <c r="F11" s="15">
        <v>148.19999999999999</v>
      </c>
      <c r="G11" s="15">
        <v>121.3</v>
      </c>
    </row>
    <row r="12" spans="2:7">
      <c r="B12" s="20" t="s">
        <v>218</v>
      </c>
      <c r="C12" s="15">
        <v>17.899999999999999</v>
      </c>
      <c r="D12" s="15">
        <v>33.4</v>
      </c>
      <c r="E12" s="15">
        <v>21</v>
      </c>
      <c r="F12" s="15">
        <v>27.7</v>
      </c>
      <c r="G12" s="15">
        <v>19.600000000000001</v>
      </c>
    </row>
  </sheetData>
  <sortState xmlns:xlrd2="http://schemas.microsoft.com/office/spreadsheetml/2017/richdata2" ref="B5:G12">
    <sortCondition ref="B5:B12"/>
  </sortState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서미경</dc:creator>
  <cp:lastModifiedBy>User</cp:lastModifiedBy>
  <dcterms:created xsi:type="dcterms:W3CDTF">2023-03-19T01:30:18Z</dcterms:created>
  <dcterms:modified xsi:type="dcterms:W3CDTF">2025-05-17T02:10:16Z</dcterms:modified>
</cp:coreProperties>
</file>