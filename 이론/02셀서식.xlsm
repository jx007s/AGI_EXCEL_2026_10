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이론\"/>
    </mc:Choice>
  </mc:AlternateContent>
  <xr:revisionPtr revIDLastSave="0" documentId="13_ncr:1_{077E7AFC-5510-456A-93A3-ECB9E8372439}" xr6:coauthVersionLast="47" xr6:coauthVersionMax="47" xr10:uidLastSave="{00000000-0000-0000-0000-000000000000}"/>
  <bookViews>
    <workbookView xWindow="22932" yWindow="-108" windowWidth="23256" windowHeight="12576" tabRatio="923" activeTab="1" xr2:uid="{00000000-000D-0000-FFFF-FFFF00000000}"/>
  </bookViews>
  <sheets>
    <sheet name="서식연습" sheetId="8" r:id="rId1"/>
    <sheet name="기본작업2-1" sheetId="4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제품명">'기본작업2-1'!$C$5:$C$12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8" l="1"/>
  <c r="G14" i="8"/>
  <c r="F14" i="8"/>
  <c r="E14" i="8"/>
  <c r="D14" i="8"/>
  <c r="H13" i="8"/>
  <c r="G13" i="8"/>
  <c r="F13" i="8"/>
  <c r="E13" i="8"/>
  <c r="D13" i="8"/>
  <c r="I12" i="8"/>
  <c r="I11" i="8"/>
  <c r="I10" i="8"/>
  <c r="I9" i="8"/>
  <c r="I8" i="8"/>
  <c r="I7" i="8"/>
  <c r="I6" i="8"/>
  <c r="I5" i="8"/>
  <c r="H14" i="4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06F389F0-9482-459B-A633-41D3FA24630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<sst xmlns="http://schemas.openxmlformats.org/spreadsheetml/2006/main" count="276" uniqueCount="138">
  <si>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</si>
  <si>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</si>
  <si>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</si>
  <si>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</si>
  <si>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</si>
  <si>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</si>
  <si>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</si>
  <si>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</si>
  <si>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</si>
  <si>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</si>
  <si>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</si>
  <si>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</si>
  <si>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</si>
  <si>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</si>
  <si>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</si>
  <si>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</si>
  <si>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</si>
  <si>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</si>
  <si>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</si>
  <si>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</si>
  <si>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</si>
  <si>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</si>
  <si>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</si>
  <si>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</si>
  <si>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</si>
  <si>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</si>
  <si>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</si>
  <si>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</si>
  <si>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</si>
  <si>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</si>
  <si>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</si>
  <si>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</si>
  <si>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</si>
  <si>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</si>
  <si>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</si>
  <si>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</si>
  <si>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</si>
  <si>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</si>
  <si>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</si>
  <si>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</si>
  <si>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영화/연극/전시회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</si>
  <si>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</si>
  <si>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</si>
  <si>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</si>
  <si>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</si>
  <si>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</si>
  <si>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</si>
  <si>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</si>
  <si>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</si>
  <si>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</si>
  <si>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</si>
  <si>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</si>
  <si>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</si>
  <si>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</si>
  <si>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</si>
  <si>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</si>
  <si>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</si>
  <si>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</si>
  <si>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</si>
  <si>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</si>
  <si>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</si>
  <si>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</si>
  <si>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</si>
  <si>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</si>
  <si>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</si>
  <si>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</si>
  <si>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</si>
  <si>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</si>
  <si>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</si>
  <si>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</si>
  <si>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</si>
  <si>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</si>
  <si>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</si>
  <si>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</si>
  <si>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</si>
  <si>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</si>
  <si>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</si>
  <si>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</si>
  <si>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</si>
  <si>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</si>
  <si>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</si>
  <si>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</si>
  <si>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</si>
  <si>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</si>
  <si>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</si>
  <si>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</si>
  <si>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</si>
  <si>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</si>
  <si>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</si>
  <si>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</si>
  <si>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</si>
  <si>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</si>
  <si>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</si>
  <si>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</si>
  <si>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</si>
  <si>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</si>
  <si>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</si>
  <si>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</si>
  <si>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</si>
  <si>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</si>
  <si>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</si>
  <si>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</si>
  <si>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</si>
  <si>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</si>
  <si>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</si>
  <si>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</si>
  <si>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</si>
  <si>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</si>
  <si>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</si>
  <si>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</si>
  <si>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</si>
  <si>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</si>
  <si>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</si>
  <si>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</si>
  <si>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</si>
  <si>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</si>
  <si>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</si>
  <si>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</si>
  <si>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</si>
  <si>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</si>
  <si>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</si>
  <si>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</si>
  <si>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</si>
  <si>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</si>
  <si>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 MBC 1234 !@#$</t>
    <phoneticPr fontId="2" type="noConversion"/>
  </si>
  <si>
    <t>엄마상어 뚜루루뚜루</t>
    <phoneticPr fontId="2" type="noConversion"/>
  </si>
  <si>
    <t>마트별합계
수퍼 
편의점</t>
    <phoneticPr fontId="2" type="noConversion"/>
  </si>
  <si>
    <t>나는 무너 꿈을 꾸는 무너 나는 상어 부산에 사는 상어 나는 고래</t>
    <phoneticPr fontId="2" type="noConversion"/>
  </si>
  <si>
    <t>호랑이</t>
    <phoneticPr fontId="2" type="noConversion"/>
  </si>
  <si>
    <t>고양이</t>
    <phoneticPr fontId="2" type="noConversion"/>
  </si>
  <si>
    <t>사자</t>
    <phoneticPr fontId="2" type="noConversion"/>
  </si>
  <si>
    <t>늑대</t>
    <phoneticPr fontId="2" type="noConversion"/>
  </si>
  <si>
    <t>여우</t>
    <phoneticPr fontId="2" type="noConversion"/>
  </si>
  <si>
    <t>B3~I4</t>
    <phoneticPr fontId="2" type="noConversion"/>
  </si>
  <si>
    <t>B3:I4</t>
    <phoneticPr fontId="2" type="noConversion"/>
  </si>
  <si>
    <t>c5,C7,C9</t>
    <phoneticPr fontId="2" type="noConversion"/>
  </si>
  <si>
    <t>연속블럭</t>
    <phoneticPr fontId="2" type="noConversion"/>
  </si>
  <si>
    <t>비연속선택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</si>
</sst>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3" formatCode="@\ &quot;케로케로케로&quot;"/>
    <numFmt numFmtId="189" formatCode="#,##0.000_ 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u val="singleAccounting"/>
      <sz val="12"/>
      <color rgb="FF00B050"/>
      <name val="HY얕은샘물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gradientFill degree="45">
        <stop position="0">
          <color theme="5"/>
        </stop>
        <stop position="1">
          <color rgb="FFFFFF00"/>
        </stop>
      </gradientFill>
    </fill>
    <fill>
      <patternFill patternType="gray0625">
        <fgColor rgb="FFFF0000"/>
        <bgColor theme="9" tint="0.5999938962981048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89" fontId="0" fillId="0" borderId="15" xfId="1" applyNumberFormat="1" applyFont="1" applyBorder="1">
      <alignment vertical="center"/>
    </xf>
    <xf numFmtId="189" fontId="0" fillId="0" borderId="16" xfId="1" applyNumberFormat="1" applyFont="1" applyBorder="1">
      <alignment vertical="center"/>
    </xf>
    <xf numFmtId="189" fontId="0" fillId="0" borderId="17" xfId="1" applyNumberFormat="1" applyFont="1" applyBorder="1">
      <alignment vertical="center"/>
    </xf>
    <xf numFmtId="189" fontId="0" fillId="0" borderId="18" xfId="1" applyNumberFormat="1" applyFont="1" applyBorder="1">
      <alignment vertical="center"/>
    </xf>
    <xf numFmtId="189" fontId="0" fillId="0" borderId="19" xfId="1" applyNumberFormat="1" applyFont="1" applyBorder="1">
      <alignment vertical="center"/>
    </xf>
    <xf numFmtId="189" fontId="0" fillId="0" borderId="20" xfId="1" applyNumberFormat="1" applyFont="1" applyBorder="1">
      <alignment vertical="center"/>
    </xf>
    <xf numFmtId="189" fontId="0" fillId="0" borderId="21" xfId="1" applyNumberFormat="1" applyFont="1" applyBorder="1">
      <alignment vertical="center"/>
    </xf>
    <xf numFmtId="189" fontId="0" fillId="0" borderId="22" xfId="1" applyNumberFormat="1" applyFont="1" applyBorder="1">
      <alignment vertical="center"/>
    </xf>
    <xf numFmtId="189" fontId="0" fillId="0" borderId="23" xfId="1" applyNumberFormat="1" applyFont="1" applyBorder="1">
      <alignment vertical="center"/>
    </xf>
    <xf numFmtId="0" fontId="0" fillId="5" borderId="2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7" borderId="6" xfId="0" applyFill="1" applyBorder="1">
      <alignment vertical="center"/>
    </xf>
    <xf numFmtId="0" fontId="0" fillId="7" borderId="1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83" fontId="9" fillId="4" borderId="28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vertical="distributed" wrapText="1"/>
    </xf>
    <xf numFmtId="0" fontId="0" fillId="6" borderId="2" xfId="0" applyFill="1" applyBorder="1" applyAlignment="1">
      <alignment vertical="distributed"/>
    </xf>
    <xf numFmtId="0" fontId="0" fillId="6" borderId="2" xfId="1" applyNumberFormat="1" applyFont="1" applyFill="1" applyBorder="1" applyAlignment="1">
      <alignment vertical="distributed"/>
    </xf>
    <xf numFmtId="0" fontId="0" fillId="6" borderId="7" xfId="1" applyNumberFormat="1" applyFont="1" applyFill="1" applyBorder="1" applyAlignment="1">
      <alignment vertical="distributed"/>
    </xf>
    <xf numFmtId="0" fontId="0" fillId="6" borderId="8" xfId="0" applyFill="1" applyBorder="1" applyAlignment="1">
      <alignment vertical="distributed"/>
    </xf>
    <xf numFmtId="0" fontId="0" fillId="6" borderId="9" xfId="0" applyFill="1" applyBorder="1" applyAlignment="1">
      <alignment vertical="distributed"/>
    </xf>
    <xf numFmtId="0" fontId="0" fillId="6" borderId="9" xfId="0" applyNumberFormat="1" applyFill="1" applyBorder="1" applyAlignment="1">
      <alignment vertical="distributed"/>
    </xf>
    <xf numFmtId="0" fontId="0" fillId="6" borderId="10" xfId="0" applyFill="1" applyBorder="1" applyAlignment="1">
      <alignment vertical="distributed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textRotation="75"/>
    </xf>
    <xf numFmtId="0" fontId="0" fillId="0" borderId="0" xfId="0" applyAlignment="1">
      <alignment vertical="center" textRotation="166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textRotation="135"/>
    </xf>
    <xf numFmtId="0" fontId="0" fillId="0" borderId="0" xfId="0" applyAlignment="1">
      <alignment horizontal="centerContinuous" vertical="center"/>
    </xf>
    <xf numFmtId="2" fontId="0" fillId="0" borderId="9" xfId="0" applyNumberFormat="1" applyBorder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3A8F-3F87-41B7-8C5D-4550B897FA54}">
  <dimension ref="B1:I24"/>
  <sheetViews>
    <sheetView topLeftCell="B1" zoomScale="115" zoomScaleNormal="115" zoomScaleSheetLayoutView="100" zoomScalePageLayoutView="85" workbookViewId="0">
      <selection activeCell="H8" sqref="H8"/>
    </sheetView>
  </sheetViews>
  <sheetFormatPr defaultRowHeight="16.5" x14ac:dyDescent="0.3"/>
  <cols>
    <col min="2" max="2" width="10.625" customWidth="1"/>
    <col min="3" max="3" width="10.375" bestFit="1" customWidth="1"/>
    <col min="4" max="4" width="18.375" customWidth="1"/>
    <col min="5" max="5" width="14.375" bestFit="1" customWidth="1"/>
    <col min="6" max="6" width="15.5" bestFit="1" customWidth="1"/>
    <col min="7" max="7" width="17.125" customWidth="1"/>
    <col min="8" max="8" width="17.75" customWidth="1"/>
    <col min="9" max="9" width="20.875" customWidth="1"/>
  </cols>
  <sheetData>
    <row r="1" spans="2:9" x14ac:dyDescent="0.3">
      <c r="B1" s="74" t="s">
        <v>124</v>
      </c>
      <c r="C1" s="36"/>
      <c r="D1" s="36"/>
      <c r="E1" s="36"/>
      <c r="F1" s="36"/>
      <c r="G1" s="36"/>
      <c r="H1" s="36"/>
      <c r="I1" s="36"/>
    </row>
    <row r="2" spans="2:9" ht="43.5" customHeight="1" thickBot="1" x14ac:dyDescent="0.35">
      <c r="B2" s="89" t="s">
        <v>125</v>
      </c>
      <c r="C2" s="89"/>
      <c r="D2" s="89"/>
      <c r="E2" s="89"/>
      <c r="F2" s="89"/>
      <c r="G2" s="89"/>
      <c r="H2" s="89"/>
      <c r="I2" s="89"/>
    </row>
    <row r="3" spans="2:9" ht="45" customHeight="1" x14ac:dyDescent="0.3">
      <c r="B3" s="64" t="s">
        <v>3</v>
      </c>
      <c r="C3" s="65" t="s">
        <v>4</v>
      </c>
      <c r="D3" s="65" t="s">
        <v>5</v>
      </c>
      <c r="E3" s="65"/>
      <c r="F3" s="66" t="s">
        <v>6</v>
      </c>
      <c r="G3" s="65" t="s">
        <v>7</v>
      </c>
      <c r="H3" s="65"/>
      <c r="I3" s="67" t="s">
        <v>8</v>
      </c>
    </row>
    <row r="4" spans="2:9" ht="37.5" customHeight="1" x14ac:dyDescent="0.3">
      <c r="B4" s="68"/>
      <c r="C4" s="69"/>
      <c r="D4" s="73" t="s">
        <v>9</v>
      </c>
      <c r="E4" s="73" t="s">
        <v>10</v>
      </c>
      <c r="F4" s="73" t="s">
        <v>11</v>
      </c>
      <c r="G4" s="73" t="s">
        <v>12</v>
      </c>
      <c r="H4" s="73" t="s">
        <v>13</v>
      </c>
      <c r="I4" s="70"/>
    </row>
    <row r="5" spans="2:9" ht="30" customHeight="1" thickBot="1" x14ac:dyDescent="0.35">
      <c r="B5" s="71" t="s">
        <v>14</v>
      </c>
      <c r="C5" s="72" t="s">
        <v>15</v>
      </c>
      <c r="D5" s="55">
        <v>125</v>
      </c>
      <c r="E5" s="56">
        <v>156</v>
      </c>
      <c r="F5" s="56">
        <v>204</v>
      </c>
      <c r="G5" s="56">
        <v>157</v>
      </c>
      <c r="H5" s="56">
        <v>347</v>
      </c>
      <c r="I5" s="57">
        <f>SUM(D5:H5)</f>
        <v>989</v>
      </c>
    </row>
    <row r="6" spans="2:9" ht="18" thickTop="1" thickBot="1" x14ac:dyDescent="0.35">
      <c r="B6" s="71"/>
      <c r="C6" s="72" t="s">
        <v>16</v>
      </c>
      <c r="D6" s="58">
        <v>52</v>
      </c>
      <c r="E6" s="59">
        <v>36</v>
      </c>
      <c r="F6" s="59">
        <v>27</v>
      </c>
      <c r="G6" s="59">
        <v>47</v>
      </c>
      <c r="H6" s="59">
        <v>36</v>
      </c>
      <c r="I6" s="60">
        <f t="shared" ref="I6:I12" si="0">SUM(D6:H6)</f>
        <v>198</v>
      </c>
    </row>
    <row r="7" spans="2:9" ht="18" thickTop="1" thickBot="1" x14ac:dyDescent="0.35">
      <c r="B7" s="71" t="s">
        <v>17</v>
      </c>
      <c r="C7" s="72" t="s">
        <v>18</v>
      </c>
      <c r="D7" s="58">
        <v>25</v>
      </c>
      <c r="E7" s="59">
        <v>58</v>
      </c>
      <c r="F7" s="59">
        <v>56</v>
      </c>
      <c r="G7" s="59">
        <v>32</v>
      </c>
      <c r="H7" s="59">
        <v>24</v>
      </c>
      <c r="I7" s="60">
        <f>SUM(D7:H7)</f>
        <v>195</v>
      </c>
    </row>
    <row r="8" spans="2:9" ht="18" thickTop="1" thickBot="1" x14ac:dyDescent="0.35">
      <c r="B8" s="71"/>
      <c r="C8" s="72" t="s">
        <v>19</v>
      </c>
      <c r="D8" s="58">
        <v>34</v>
      </c>
      <c r="E8" s="59">
        <v>62</v>
      </c>
      <c r="F8" s="59">
        <v>62</v>
      </c>
      <c r="G8" s="59">
        <v>34</v>
      </c>
      <c r="H8" s="59">
        <v>82</v>
      </c>
      <c r="I8" s="60">
        <f>SUM(D8:H8)</f>
        <v>274</v>
      </c>
    </row>
    <row r="9" spans="2:9" ht="18" thickTop="1" thickBot="1" x14ac:dyDescent="0.35">
      <c r="B9" s="71"/>
      <c r="C9" s="72" t="s">
        <v>20</v>
      </c>
      <c r="D9" s="58">
        <v>85</v>
      </c>
      <c r="E9" s="59">
        <v>36</v>
      </c>
      <c r="F9" s="59">
        <v>75</v>
      </c>
      <c r="G9" s="59">
        <v>64</v>
      </c>
      <c r="H9" s="59">
        <v>28</v>
      </c>
      <c r="I9" s="60">
        <f>SUM(D9:H9)</f>
        <v>288</v>
      </c>
    </row>
    <row r="10" spans="2:9" ht="18" thickTop="1" thickBot="1" x14ac:dyDescent="0.35">
      <c r="B10" s="71" t="s">
        <v>21</v>
      </c>
      <c r="C10" s="72" t="s">
        <v>22</v>
      </c>
      <c r="D10" s="58">
        <v>68</v>
      </c>
      <c r="E10" s="59">
        <v>92</v>
      </c>
      <c r="F10" s="59">
        <v>51</v>
      </c>
      <c r="G10" s="59">
        <v>73</v>
      </c>
      <c r="H10" s="59">
        <v>54</v>
      </c>
      <c r="I10" s="60">
        <f t="shared" si="0"/>
        <v>338</v>
      </c>
    </row>
    <row r="11" spans="2:9" ht="18" thickTop="1" thickBot="1" x14ac:dyDescent="0.35">
      <c r="B11" s="71"/>
      <c r="C11" s="72" t="s">
        <v>23</v>
      </c>
      <c r="D11" s="58">
        <v>31</v>
      </c>
      <c r="E11" s="59">
        <v>30</v>
      </c>
      <c r="F11" s="59">
        <v>42</v>
      </c>
      <c r="G11" s="59">
        <v>17</v>
      </c>
      <c r="H11" s="59">
        <v>25</v>
      </c>
      <c r="I11" s="60">
        <f t="shared" si="0"/>
        <v>145</v>
      </c>
    </row>
    <row r="12" spans="2:9" ht="17.25" thickTop="1" x14ac:dyDescent="0.3">
      <c r="B12" s="71"/>
      <c r="C12" s="72" t="s">
        <v>24</v>
      </c>
      <c r="D12" s="61">
        <v>106</v>
      </c>
      <c r="E12" s="62">
        <v>88</v>
      </c>
      <c r="F12" s="62">
        <v>124</v>
      </c>
      <c r="G12" s="62">
        <v>64</v>
      </c>
      <c r="H12" s="62">
        <v>72</v>
      </c>
      <c r="I12" s="63">
        <f t="shared" si="0"/>
        <v>454</v>
      </c>
    </row>
    <row r="13" spans="2:9" ht="97.5" customHeight="1" x14ac:dyDescent="0.3">
      <c r="B13" s="75" t="s">
        <v>126</v>
      </c>
      <c r="C13" s="76"/>
      <c r="D13" s="77">
        <f t="shared" ref="D13:H13" si="1">SUM(D5:D12)</f>
        <v>526</v>
      </c>
      <c r="E13" s="77">
        <f t="shared" si="1"/>
        <v>558</v>
      </c>
      <c r="F13" s="77">
        <f t="shared" si="1"/>
        <v>641</v>
      </c>
      <c r="G13" s="77">
        <f t="shared" si="1"/>
        <v>488</v>
      </c>
      <c r="H13" s="77">
        <f t="shared" si="1"/>
        <v>668</v>
      </c>
      <c r="I13" s="78"/>
    </row>
    <row r="14" spans="2:9" ht="39" customHeight="1" thickBot="1" x14ac:dyDescent="0.35">
      <c r="B14" s="79" t="s">
        <v>26</v>
      </c>
      <c r="C14" s="80"/>
      <c r="D14" s="81">
        <f>AVERAGE(D5:D12)</f>
        <v>65.75</v>
      </c>
      <c r="E14" s="81">
        <f t="shared" ref="E14:H14" si="2">AVERAGE(E5:E12)</f>
        <v>69.75</v>
      </c>
      <c r="F14" s="81">
        <f t="shared" si="2"/>
        <v>80.125</v>
      </c>
      <c r="G14" s="81">
        <f t="shared" si="2"/>
        <v>61</v>
      </c>
      <c r="H14" s="81">
        <f t="shared" si="2"/>
        <v>83.5</v>
      </c>
      <c r="I14" s="82"/>
    </row>
    <row r="20" spans="2:7" ht="49.5" x14ac:dyDescent="0.3">
      <c r="B20" s="83" t="s">
        <v>127</v>
      </c>
    </row>
    <row r="22" spans="2:7" ht="28.5" customHeight="1" x14ac:dyDescent="0.3">
      <c r="B22" s="84" t="s">
        <v>127</v>
      </c>
    </row>
    <row r="24" spans="2:7" ht="41.25" x14ac:dyDescent="0.3">
      <c r="C24" s="85" t="s">
        <v>128</v>
      </c>
      <c r="D24" s="86" t="s">
        <v>129</v>
      </c>
      <c r="E24" s="87" t="s">
        <v>130</v>
      </c>
      <c r="F24" s="88" t="s">
        <v>131</v>
      </c>
      <c r="G24" t="s">
        <v>132</v>
      </c>
    </row>
  </sheetData>
  <mergeCells count="6">
    <mergeCell ref="B3:B4"/>
    <mergeCell ref="C3:C4"/>
    <mergeCell ref="D3:E3"/>
    <mergeCell ref="G3:H3"/>
    <mergeCell ref="I3:I4"/>
    <mergeCell ref="B1:I1"/>
  </mergeCells>
  <phoneticPr fontId="2" type="noConversion"/>
  <pageMargins left="0.7" right="0.7" top="0.75" bottom="0.75" header="0.3" footer="0.3"/>
  <pageSetup paperSize="9" orientation="landscape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4"/>
  <sheetViews>
    <sheetView tabSelected="1" zoomScale="130" zoomScaleNormal="130" workbookViewId="0">
      <selection activeCell="K7" sqref="K7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  <col min="13" max="13" width="10.5" customWidth="1"/>
  </cols>
  <sheetData>
    <row r="1" spans="2:13" x14ac:dyDescent="0.3">
      <c r="B1" t="s">
        <v>0</v>
      </c>
    </row>
    <row r="2" spans="2:13" ht="17.25" thickBot="1" x14ac:dyDescent="0.35"/>
    <row r="3" spans="2:13" x14ac:dyDescent="0.3">
      <c r="B3" s="42" t="s">
        <v>3</v>
      </c>
      <c r="C3" s="43" t="s">
        <v>4</v>
      </c>
      <c r="D3" s="43" t="s">
        <v>5</v>
      </c>
      <c r="E3" s="43"/>
      <c r="F3" s="34" t="s">
        <v>6</v>
      </c>
      <c r="G3" s="43" t="s">
        <v>7</v>
      </c>
      <c r="H3" s="43"/>
      <c r="I3" s="45" t="s">
        <v>8</v>
      </c>
      <c r="K3" t="s">
        <v>133</v>
      </c>
      <c r="L3" t="s">
        <v>134</v>
      </c>
      <c r="M3" t="s">
        <v>136</v>
      </c>
    </row>
    <row r="4" spans="2:13" x14ac:dyDescent="0.3">
      <c r="B4" s="41"/>
      <c r="C4" s="44"/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46"/>
      <c r="K4" s="1" t="s">
        <v>135</v>
      </c>
      <c r="M4" t="s">
        <v>137</v>
      </c>
    </row>
    <row r="5" spans="2:13" x14ac:dyDescent="0.3">
      <c r="B5" s="41" t="s">
        <v>14</v>
      </c>
      <c r="C5" s="35" t="s">
        <v>15</v>
      </c>
      <c r="D5" s="11">
        <v>125</v>
      </c>
      <c r="E5" s="11">
        <v>156</v>
      </c>
      <c r="F5" s="11">
        <v>204</v>
      </c>
      <c r="G5" s="11">
        <v>157</v>
      </c>
      <c r="H5" s="11">
        <v>347</v>
      </c>
      <c r="I5" s="14">
        <f>SUM(D5:H5)</f>
        <v>989</v>
      </c>
    </row>
    <row r="6" spans="2:13" x14ac:dyDescent="0.3">
      <c r="B6" s="41"/>
      <c r="C6" s="35" t="s">
        <v>16</v>
      </c>
      <c r="D6" s="11">
        <v>52</v>
      </c>
      <c r="E6" s="11">
        <v>36</v>
      </c>
      <c r="F6" s="11">
        <v>27</v>
      </c>
      <c r="G6" s="11">
        <v>47</v>
      </c>
      <c r="H6" s="11">
        <v>36</v>
      </c>
      <c r="I6" s="14">
        <f t="shared" ref="I6:I12" si="0">SUM(D6:H6)</f>
        <v>198</v>
      </c>
    </row>
    <row r="7" spans="2:13" x14ac:dyDescent="0.3">
      <c r="B7" s="41" t="s">
        <v>17</v>
      </c>
      <c r="C7" s="35" t="s">
        <v>18</v>
      </c>
      <c r="D7" s="11">
        <v>25</v>
      </c>
      <c r="E7" s="11">
        <v>58</v>
      </c>
      <c r="F7" s="11">
        <v>56</v>
      </c>
      <c r="G7" s="11">
        <v>32</v>
      </c>
      <c r="H7" s="11">
        <v>24</v>
      </c>
      <c r="I7" s="14">
        <f>SUM(D7:H7)</f>
        <v>195</v>
      </c>
    </row>
    <row r="8" spans="2:13" x14ac:dyDescent="0.3">
      <c r="B8" s="41"/>
      <c r="C8" s="35" t="s">
        <v>19</v>
      </c>
      <c r="D8" s="11">
        <v>34</v>
      </c>
      <c r="E8" s="11">
        <v>62</v>
      </c>
      <c r="F8" s="11">
        <v>62</v>
      </c>
      <c r="G8" s="11">
        <v>34</v>
      </c>
      <c r="H8" s="11">
        <v>82</v>
      </c>
      <c r="I8" s="14">
        <f>SUM(D8:H8)</f>
        <v>274</v>
      </c>
    </row>
    <row r="9" spans="2:13" x14ac:dyDescent="0.3">
      <c r="B9" s="41"/>
      <c r="C9" s="35" t="s">
        <v>20</v>
      </c>
      <c r="D9" s="11">
        <v>85</v>
      </c>
      <c r="E9" s="11">
        <v>36</v>
      </c>
      <c r="F9" s="11">
        <v>75</v>
      </c>
      <c r="G9" s="11">
        <v>64</v>
      </c>
      <c r="H9" s="11">
        <v>28</v>
      </c>
      <c r="I9" s="14">
        <f>SUM(D9:H9)</f>
        <v>288</v>
      </c>
    </row>
    <row r="10" spans="2:13" x14ac:dyDescent="0.3">
      <c r="B10" s="41" t="s">
        <v>21</v>
      </c>
      <c r="C10" s="35" t="s">
        <v>22</v>
      </c>
      <c r="D10" s="11">
        <v>68</v>
      </c>
      <c r="E10" s="11">
        <v>92</v>
      </c>
      <c r="F10" s="11">
        <v>51</v>
      </c>
      <c r="G10" s="11">
        <v>73</v>
      </c>
      <c r="H10" s="11">
        <v>54</v>
      </c>
      <c r="I10" s="14">
        <f t="shared" si="0"/>
        <v>338</v>
      </c>
    </row>
    <row r="11" spans="2:13" x14ac:dyDescent="0.3">
      <c r="B11" s="41"/>
      <c r="C11" s="35" t="s">
        <v>23</v>
      </c>
      <c r="D11" s="11">
        <v>31</v>
      </c>
      <c r="E11" s="11">
        <v>30</v>
      </c>
      <c r="F11" s="11">
        <v>42</v>
      </c>
      <c r="G11" s="11">
        <v>17</v>
      </c>
      <c r="H11" s="11">
        <v>25</v>
      </c>
      <c r="I11" s="14">
        <f t="shared" si="0"/>
        <v>145</v>
      </c>
    </row>
    <row r="12" spans="2:13" x14ac:dyDescent="0.3">
      <c r="B12" s="41"/>
      <c r="C12" s="35" t="s">
        <v>24</v>
      </c>
      <c r="D12" s="11">
        <v>106</v>
      </c>
      <c r="E12" s="11">
        <v>88</v>
      </c>
      <c r="F12" s="11">
        <v>124</v>
      </c>
      <c r="G12" s="11">
        <v>64</v>
      </c>
      <c r="H12" s="11">
        <v>72</v>
      </c>
      <c r="I12" s="14">
        <f t="shared" si="0"/>
        <v>454</v>
      </c>
    </row>
    <row r="13" spans="2:13" x14ac:dyDescent="0.3">
      <c r="B13" s="39" t="s">
        <v>25</v>
      </c>
      <c r="C13" s="40"/>
      <c r="D13" s="12">
        <f t="shared" ref="D13:H13" si="1">SUM(D5:D12)</f>
        <v>526</v>
      </c>
      <c r="E13" s="12">
        <f t="shared" si="1"/>
        <v>558</v>
      </c>
      <c r="F13" s="12">
        <f t="shared" si="1"/>
        <v>641</v>
      </c>
      <c r="G13" s="12">
        <f t="shared" si="1"/>
        <v>488</v>
      </c>
      <c r="H13" s="12">
        <f t="shared" si="1"/>
        <v>668</v>
      </c>
      <c r="I13" s="16"/>
    </row>
    <row r="14" spans="2:13" ht="17.25" thickBot="1" x14ac:dyDescent="0.35">
      <c r="B14" s="37" t="s">
        <v>26</v>
      </c>
      <c r="C14" s="38"/>
      <c r="D14" s="90">
        <f>AVERAGE(D5:D12)</f>
        <v>65.75</v>
      </c>
      <c r="E14" s="90">
        <f t="shared" ref="E14:H14" si="2">AVERAGE(E5:E12)</f>
        <v>69.75</v>
      </c>
      <c r="F14" s="90">
        <f t="shared" si="2"/>
        <v>80.125</v>
      </c>
      <c r="G14" s="90">
        <f t="shared" si="2"/>
        <v>61</v>
      </c>
      <c r="H14" s="90">
        <f t="shared" si="2"/>
        <v>83.5</v>
      </c>
      <c r="I14" s="17"/>
    </row>
  </sheetData>
  <mergeCells count="10">
    <mergeCell ref="B5:B6"/>
    <mergeCell ref="B7:B9"/>
    <mergeCell ref="B10:B12"/>
    <mergeCell ref="B13:C13"/>
    <mergeCell ref="B14:C14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42" t="s">
        <v>3</v>
      </c>
      <c r="C3" s="43" t="s">
        <v>4</v>
      </c>
      <c r="D3" s="43" t="s">
        <v>5</v>
      </c>
      <c r="E3" s="43"/>
      <c r="F3" s="13" t="s">
        <v>6</v>
      </c>
      <c r="G3" s="43" t="s">
        <v>7</v>
      </c>
      <c r="H3" s="43"/>
      <c r="I3" s="45" t="s">
        <v>8</v>
      </c>
    </row>
    <row r="4" spans="2:9" x14ac:dyDescent="0.3">
      <c r="B4" s="41"/>
      <c r="C4" s="44"/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46"/>
    </row>
    <row r="5" spans="2:9" x14ac:dyDescent="0.3">
      <c r="B5" s="41" t="s">
        <v>14</v>
      </c>
      <c r="C5" s="9" t="s">
        <v>15</v>
      </c>
      <c r="D5" s="11">
        <v>125</v>
      </c>
      <c r="E5" s="11">
        <v>156</v>
      </c>
      <c r="F5" s="11">
        <v>204</v>
      </c>
      <c r="G5" s="11">
        <v>157</v>
      </c>
      <c r="H5" s="11">
        <v>347</v>
      </c>
      <c r="I5" s="14">
        <f>SUM(D5:H5)</f>
        <v>989</v>
      </c>
    </row>
    <row r="6" spans="2:9" x14ac:dyDescent="0.3">
      <c r="B6" s="41"/>
      <c r="C6" s="9" t="s">
        <v>16</v>
      </c>
      <c r="D6" s="11">
        <v>52</v>
      </c>
      <c r="E6" s="11">
        <v>36</v>
      </c>
      <c r="F6" s="11">
        <v>27</v>
      </c>
      <c r="G6" s="11">
        <v>47</v>
      </c>
      <c r="H6" s="11">
        <v>36</v>
      </c>
      <c r="I6" s="14">
        <f t="shared" ref="I6:I12" si="0">SUM(D6:H6)</f>
        <v>198</v>
      </c>
    </row>
    <row r="7" spans="2:9" x14ac:dyDescent="0.3">
      <c r="B7" s="41" t="s">
        <v>17</v>
      </c>
      <c r="C7" s="9" t="s">
        <v>18</v>
      </c>
      <c r="D7" s="11">
        <v>25</v>
      </c>
      <c r="E7" s="11">
        <v>58</v>
      </c>
      <c r="F7" s="11">
        <v>56</v>
      </c>
      <c r="G7" s="11">
        <v>32</v>
      </c>
      <c r="H7" s="11">
        <v>24</v>
      </c>
      <c r="I7" s="14">
        <f>SUM(D7:H7)</f>
        <v>195</v>
      </c>
    </row>
    <row r="8" spans="2:9" x14ac:dyDescent="0.3">
      <c r="B8" s="41"/>
      <c r="C8" s="9" t="s">
        <v>19</v>
      </c>
      <c r="D8" s="11">
        <v>34</v>
      </c>
      <c r="E8" s="11">
        <v>62</v>
      </c>
      <c r="F8" s="11">
        <v>62</v>
      </c>
      <c r="G8" s="11">
        <v>34</v>
      </c>
      <c r="H8" s="11">
        <v>82</v>
      </c>
      <c r="I8" s="14">
        <f>SUM(D8:H8)</f>
        <v>274</v>
      </c>
    </row>
    <row r="9" spans="2:9" x14ac:dyDescent="0.3">
      <c r="B9" s="41"/>
      <c r="C9" s="9" t="s">
        <v>20</v>
      </c>
      <c r="D9" s="11">
        <v>85</v>
      </c>
      <c r="E9" s="11">
        <v>36</v>
      </c>
      <c r="F9" s="11">
        <v>75</v>
      </c>
      <c r="G9" s="11">
        <v>64</v>
      </c>
      <c r="H9" s="11">
        <v>28</v>
      </c>
      <c r="I9" s="14">
        <f>SUM(D9:H9)</f>
        <v>288</v>
      </c>
    </row>
    <row r="10" spans="2:9" x14ac:dyDescent="0.3">
      <c r="B10" s="41" t="s">
        <v>21</v>
      </c>
      <c r="C10" s="9" t="s">
        <v>22</v>
      </c>
      <c r="D10" s="11">
        <v>68</v>
      </c>
      <c r="E10" s="11">
        <v>92</v>
      </c>
      <c r="F10" s="11">
        <v>51</v>
      </c>
      <c r="G10" s="11">
        <v>73</v>
      </c>
      <c r="H10" s="11">
        <v>54</v>
      </c>
      <c r="I10" s="14">
        <f t="shared" si="0"/>
        <v>338</v>
      </c>
    </row>
    <row r="11" spans="2:9" x14ac:dyDescent="0.3">
      <c r="B11" s="41"/>
      <c r="C11" s="9" t="s">
        <v>23</v>
      </c>
      <c r="D11" s="11">
        <v>31</v>
      </c>
      <c r="E11" s="11">
        <v>30</v>
      </c>
      <c r="F11" s="11">
        <v>42</v>
      </c>
      <c r="G11" s="11">
        <v>17</v>
      </c>
      <c r="H11" s="11">
        <v>25</v>
      </c>
      <c r="I11" s="14">
        <f t="shared" si="0"/>
        <v>145</v>
      </c>
    </row>
    <row r="12" spans="2:9" x14ac:dyDescent="0.3">
      <c r="B12" s="41"/>
      <c r="C12" s="9" t="s">
        <v>24</v>
      </c>
      <c r="D12" s="11">
        <v>106</v>
      </c>
      <c r="E12" s="11">
        <v>88</v>
      </c>
      <c r="F12" s="11">
        <v>124</v>
      </c>
      <c r="G12" s="11">
        <v>64</v>
      </c>
      <c r="H12" s="11">
        <v>72</v>
      </c>
      <c r="I12" s="14">
        <f t="shared" si="0"/>
        <v>454</v>
      </c>
    </row>
    <row r="13" spans="2:9" x14ac:dyDescent="0.3">
      <c r="B13" s="39" t="s">
        <v>25</v>
      </c>
      <c r="C13" s="40"/>
      <c r="D13" s="12">
        <f t="shared" ref="D13:H13" si="1">SUM(D5:D12)</f>
        <v>526</v>
      </c>
      <c r="E13" s="12">
        <f t="shared" si="1"/>
        <v>558</v>
      </c>
      <c r="F13" s="12">
        <f t="shared" si="1"/>
        <v>641</v>
      </c>
      <c r="G13" s="12">
        <f t="shared" si="1"/>
        <v>488</v>
      </c>
      <c r="H13" s="12">
        <f t="shared" si="1"/>
        <v>668</v>
      </c>
      <c r="I13" s="16"/>
    </row>
    <row r="14" spans="2:9" ht="17.25" thickBot="1" x14ac:dyDescent="0.35">
      <c r="B14" s="37" t="s">
        <v>26</v>
      </c>
      <c r="C14" s="38"/>
      <c r="D14" s="15">
        <f>AVERAGE(D5:D12)</f>
        <v>65.75</v>
      </c>
      <c r="E14" s="15">
        <f t="shared" ref="E14:H14" si="2">AVERAGE(E5:E12)</f>
        <v>69.75</v>
      </c>
      <c r="F14" s="15">
        <f t="shared" si="2"/>
        <v>80.125</v>
      </c>
      <c r="G14" s="15">
        <f t="shared" si="2"/>
        <v>61</v>
      </c>
      <c r="H14" s="15">
        <f t="shared" si="2"/>
        <v>83.5</v>
      </c>
      <c r="I14" s="17"/>
    </row>
  </sheetData>
  <mergeCells count="10">
    <mergeCell ref="B3:B4"/>
    <mergeCell ref="C3:C4"/>
    <mergeCell ref="D3:E3"/>
    <mergeCell ref="G3:H3"/>
    <mergeCell ref="I3:I4"/>
    <mergeCell ref="B14:C14"/>
    <mergeCell ref="B13:C13"/>
    <mergeCell ref="B10:B12"/>
    <mergeCell ref="B7:B9"/>
    <mergeCell ref="B5:B6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workbookViewId="0"/>
  </sheetViews>
  <sheetFormatPr defaultRowHeight="16.5" x14ac:dyDescent="0.3"/>
  <cols>
    <col min="3" max="3" width="13.25" customWidth="1"/>
  </cols>
  <sheetData>
    <row r="1" spans="1:6" x14ac:dyDescent="0.3">
      <c r="A1" t="s">
        <v>1</v>
      </c>
    </row>
    <row r="3" spans="1:6" x14ac:dyDescent="0.3">
      <c r="A3" s="3" t="s">
        <v>27</v>
      </c>
      <c r="B3" s="3" t="s">
        <v>28</v>
      </c>
      <c r="C3" s="3" t="s">
        <v>29</v>
      </c>
      <c r="D3" s="3" t="s">
        <v>30</v>
      </c>
      <c r="E3" s="3" t="s">
        <v>31</v>
      </c>
      <c r="F3" s="3" t="s">
        <v>32</v>
      </c>
    </row>
    <row r="4" spans="1:6" x14ac:dyDescent="0.3">
      <c r="A4" s="4" t="s">
        <v>33</v>
      </c>
      <c r="B4" s="4" t="s">
        <v>34</v>
      </c>
      <c r="C4" s="5" t="s">
        <v>35</v>
      </c>
      <c r="D4" s="6">
        <v>45</v>
      </c>
      <c r="E4" s="4">
        <v>2</v>
      </c>
      <c r="F4" s="7">
        <v>90</v>
      </c>
    </row>
    <row r="5" spans="1:6" x14ac:dyDescent="0.3">
      <c r="A5" s="4"/>
      <c r="B5" s="4"/>
      <c r="C5" s="5" t="s">
        <v>36</v>
      </c>
      <c r="D5" s="4">
        <v>40</v>
      </c>
      <c r="E5" s="4">
        <v>2</v>
      </c>
      <c r="F5" s="7"/>
    </row>
    <row r="6" spans="1:6" x14ac:dyDescent="0.3">
      <c r="A6" s="4"/>
      <c r="B6" s="4"/>
      <c r="C6" s="5" t="s">
        <v>37</v>
      </c>
      <c r="D6" s="4">
        <v>40</v>
      </c>
      <c r="E6" s="4">
        <v>2</v>
      </c>
      <c r="F6" s="7"/>
    </row>
    <row r="7" spans="1:6" x14ac:dyDescent="0.3">
      <c r="A7" s="4" t="s">
        <v>38</v>
      </c>
      <c r="B7" s="4" t="s">
        <v>39</v>
      </c>
      <c r="C7" s="6" t="s">
        <v>40</v>
      </c>
      <c r="D7" s="4">
        <v>3</v>
      </c>
      <c r="E7" s="4">
        <v>10</v>
      </c>
      <c r="F7" s="7">
        <v>30</v>
      </c>
    </row>
    <row r="8" spans="1:6" x14ac:dyDescent="0.3">
      <c r="A8" s="4"/>
      <c r="B8" s="4" t="s">
        <v>41</v>
      </c>
      <c r="C8" s="6" t="s">
        <v>42</v>
      </c>
      <c r="D8" s="4">
        <v>10</v>
      </c>
      <c r="E8" s="4">
        <v>5</v>
      </c>
      <c r="F8" s="7"/>
    </row>
    <row r="9" spans="1:6" x14ac:dyDescent="0.3">
      <c r="A9" s="4"/>
      <c r="B9" s="4" t="s">
        <v>43</v>
      </c>
      <c r="C9" s="6" t="s">
        <v>44</v>
      </c>
      <c r="D9" s="4">
        <v>2</v>
      </c>
      <c r="E9" s="4">
        <v>35</v>
      </c>
      <c r="F9" s="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47" t="s">
        <v>1</v>
      </c>
      <c r="B1" s="47"/>
      <c r="C1" s="47"/>
      <c r="D1" s="47"/>
      <c r="E1" s="47"/>
      <c r="F1" s="47"/>
    </row>
    <row r="2" spans="1:6" ht="17.25" thickBot="1" x14ac:dyDescent="0.35"/>
    <row r="3" spans="1:6" x14ac:dyDescent="0.3">
      <c r="A3" s="23" t="s">
        <v>27</v>
      </c>
      <c r="B3" s="24" t="s">
        <v>28</v>
      </c>
      <c r="C3" s="24" t="s">
        <v>29</v>
      </c>
      <c r="D3" s="24" t="s">
        <v>30</v>
      </c>
      <c r="E3" s="24" t="s">
        <v>31</v>
      </c>
      <c r="F3" s="25" t="s">
        <v>32</v>
      </c>
    </row>
    <row r="4" spans="1:6" x14ac:dyDescent="0.3">
      <c r="A4" s="51" t="s">
        <v>33</v>
      </c>
      <c r="B4" s="50" t="s">
        <v>34</v>
      </c>
      <c r="C4" s="18" t="s">
        <v>35</v>
      </c>
      <c r="D4" s="19">
        <v>45</v>
      </c>
      <c r="E4" s="20">
        <v>2</v>
      </c>
      <c r="F4" s="48">
        <v>90</v>
      </c>
    </row>
    <row r="5" spans="1:6" x14ac:dyDescent="0.3">
      <c r="A5" s="51"/>
      <c r="B5" s="50"/>
      <c r="C5" s="18" t="s">
        <v>36</v>
      </c>
      <c r="D5" s="21">
        <v>40</v>
      </c>
      <c r="E5" s="20">
        <v>2</v>
      </c>
      <c r="F5" s="48"/>
    </row>
    <row r="6" spans="1:6" x14ac:dyDescent="0.3">
      <c r="A6" s="51"/>
      <c r="B6" s="50"/>
      <c r="C6" s="18" t="s">
        <v>37</v>
      </c>
      <c r="D6" s="21">
        <v>40</v>
      </c>
      <c r="E6" s="20">
        <v>2</v>
      </c>
      <c r="F6" s="48"/>
    </row>
    <row r="7" spans="1:6" x14ac:dyDescent="0.3">
      <c r="A7" s="51" t="s">
        <v>38</v>
      </c>
      <c r="B7" s="21" t="s">
        <v>39</v>
      </c>
      <c r="C7" s="22" t="s">
        <v>104</v>
      </c>
      <c r="D7" s="21">
        <v>3</v>
      </c>
      <c r="E7" s="20">
        <v>10</v>
      </c>
      <c r="F7" s="48">
        <v>30</v>
      </c>
    </row>
    <row r="8" spans="1:6" x14ac:dyDescent="0.3">
      <c r="A8" s="51"/>
      <c r="B8" s="21" t="s">
        <v>41</v>
      </c>
      <c r="C8" s="19" t="s">
        <v>42</v>
      </c>
      <c r="D8" s="21">
        <v>10</v>
      </c>
      <c r="E8" s="20">
        <v>5</v>
      </c>
      <c r="F8" s="48"/>
    </row>
    <row r="9" spans="1:6" ht="17.25" thickBot="1" x14ac:dyDescent="0.35">
      <c r="A9" s="52"/>
      <c r="B9" s="26" t="s">
        <v>43</v>
      </c>
      <c r="C9" s="27" t="s">
        <v>44</v>
      </c>
      <c r="D9" s="26">
        <v>2</v>
      </c>
      <c r="E9" s="28">
        <v>35</v>
      </c>
      <c r="F9" s="49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45</v>
      </c>
      <c r="B3" t="s">
        <v>4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J3" t="s">
        <v>53</v>
      </c>
    </row>
    <row r="4" spans="1:10" x14ac:dyDescent="0.3">
      <c r="A4" t="s">
        <v>54</v>
      </c>
      <c r="B4" t="s">
        <v>55</v>
      </c>
      <c r="C4" t="s">
        <v>56</v>
      </c>
      <c r="D4" t="s">
        <v>57</v>
      </c>
      <c r="E4" s="2" t="s">
        <v>118</v>
      </c>
      <c r="F4">
        <v>5000</v>
      </c>
      <c r="G4">
        <v>95</v>
      </c>
      <c r="H4" t="s">
        <v>58</v>
      </c>
      <c r="J4">
        <v>5</v>
      </c>
    </row>
    <row r="5" spans="1:10" x14ac:dyDescent="0.3">
      <c r="B5" t="s">
        <v>59</v>
      </c>
      <c r="C5" t="s">
        <v>60</v>
      </c>
      <c r="D5" t="s">
        <v>61</v>
      </c>
      <c r="E5" s="2" t="s">
        <v>121</v>
      </c>
      <c r="F5">
        <v>12500</v>
      </c>
      <c r="G5">
        <v>45</v>
      </c>
      <c r="H5" t="s">
        <v>62</v>
      </c>
      <c r="J5">
        <v>3</v>
      </c>
    </row>
    <row r="6" spans="1:10" x14ac:dyDescent="0.3">
      <c r="B6" t="s">
        <v>63</v>
      </c>
      <c r="C6" t="s">
        <v>64</v>
      </c>
      <c r="D6" t="s">
        <v>65</v>
      </c>
      <c r="E6" s="2" t="s">
        <v>121</v>
      </c>
      <c r="F6">
        <v>15000</v>
      </c>
      <c r="G6">
        <v>86</v>
      </c>
      <c r="H6" t="s">
        <v>66</v>
      </c>
      <c r="J6">
        <v>10</v>
      </c>
    </row>
    <row r="7" spans="1:10" x14ac:dyDescent="0.3">
      <c r="A7" t="s">
        <v>67</v>
      </c>
      <c r="B7" t="s">
        <v>68</v>
      </c>
      <c r="C7" t="s">
        <v>69</v>
      </c>
      <c r="D7" t="s">
        <v>70</v>
      </c>
      <c r="E7" s="2" t="s">
        <v>119</v>
      </c>
      <c r="F7">
        <v>10000</v>
      </c>
      <c r="G7">
        <v>12</v>
      </c>
      <c r="H7" t="s">
        <v>62</v>
      </c>
      <c r="J7">
        <v>15</v>
      </c>
    </row>
    <row r="8" spans="1:10" x14ac:dyDescent="0.3">
      <c r="B8" t="s">
        <v>71</v>
      </c>
      <c r="C8" t="s">
        <v>72</v>
      </c>
      <c r="D8" t="s">
        <v>73</v>
      </c>
      <c r="E8" s="2" t="s">
        <v>122</v>
      </c>
      <c r="F8">
        <v>6500</v>
      </c>
      <c r="G8">
        <v>57</v>
      </c>
      <c r="H8" t="s">
        <v>66</v>
      </c>
      <c r="J8">
        <v>14</v>
      </c>
    </row>
    <row r="9" spans="1:10" x14ac:dyDescent="0.3">
      <c r="B9" t="s">
        <v>75</v>
      </c>
      <c r="C9" t="s">
        <v>76</v>
      </c>
      <c r="D9" t="s">
        <v>77</v>
      </c>
      <c r="E9" s="2" t="s">
        <v>122</v>
      </c>
      <c r="F9">
        <v>8500</v>
      </c>
      <c r="G9">
        <v>68</v>
      </c>
      <c r="H9" t="s">
        <v>58</v>
      </c>
      <c r="J9">
        <v>7</v>
      </c>
    </row>
    <row r="10" spans="1:10" x14ac:dyDescent="0.3">
      <c r="A10" t="s">
        <v>78</v>
      </c>
      <c r="B10" t="s">
        <v>79</v>
      </c>
      <c r="C10" t="s">
        <v>80</v>
      </c>
      <c r="D10" t="s">
        <v>81</v>
      </c>
      <c r="E10" s="2" t="s">
        <v>118</v>
      </c>
      <c r="F10">
        <v>6500</v>
      </c>
      <c r="G10">
        <v>33</v>
      </c>
      <c r="H10" t="s">
        <v>58</v>
      </c>
      <c r="J10">
        <v>5</v>
      </c>
    </row>
    <row r="11" spans="1:10" x14ac:dyDescent="0.3">
      <c r="B11" t="s">
        <v>83</v>
      </c>
      <c r="C11" t="s">
        <v>84</v>
      </c>
      <c r="D11" t="s">
        <v>85</v>
      </c>
      <c r="E11" s="2" t="s">
        <v>123</v>
      </c>
      <c r="F11">
        <v>13500</v>
      </c>
      <c r="G11">
        <v>84</v>
      </c>
      <c r="H11" t="s">
        <v>62</v>
      </c>
      <c r="J11">
        <v>3</v>
      </c>
    </row>
    <row r="12" spans="1:10" x14ac:dyDescent="0.3">
      <c r="B12" t="s">
        <v>87</v>
      </c>
      <c r="C12" t="s">
        <v>88</v>
      </c>
      <c r="D12" t="s">
        <v>89</v>
      </c>
      <c r="E12" s="2" t="s">
        <v>119</v>
      </c>
      <c r="F12">
        <v>7000</v>
      </c>
      <c r="G12">
        <v>51</v>
      </c>
      <c r="H12" t="s">
        <v>66</v>
      </c>
      <c r="J12">
        <v>9</v>
      </c>
    </row>
    <row r="13" spans="1:10" x14ac:dyDescent="0.3">
      <c r="A13" t="s">
        <v>91</v>
      </c>
      <c r="B13" t="s">
        <v>92</v>
      </c>
      <c r="C13" t="s">
        <v>93</v>
      </c>
      <c r="D13" t="s">
        <v>77</v>
      </c>
      <c r="E13" s="2" t="s">
        <v>120</v>
      </c>
      <c r="F13">
        <v>15000</v>
      </c>
      <c r="G13">
        <v>62</v>
      </c>
      <c r="H13" t="s">
        <v>95</v>
      </c>
      <c r="J13">
        <v>4</v>
      </c>
    </row>
    <row r="14" spans="1:10" x14ac:dyDescent="0.3">
      <c r="B14" t="s">
        <v>96</v>
      </c>
      <c r="C14" t="s">
        <v>97</v>
      </c>
      <c r="D14" t="s">
        <v>65</v>
      </c>
      <c r="E14" s="2" t="s">
        <v>120</v>
      </c>
      <c r="F14">
        <v>18500</v>
      </c>
      <c r="G14">
        <v>83</v>
      </c>
      <c r="H14" t="s">
        <v>95</v>
      </c>
      <c r="J14">
        <v>10</v>
      </c>
    </row>
    <row r="15" spans="1:10" x14ac:dyDescent="0.3">
      <c r="B15" t="s">
        <v>100</v>
      </c>
      <c r="C15" t="s">
        <v>101</v>
      </c>
      <c r="D15" t="s">
        <v>102</v>
      </c>
      <c r="E15" s="2" t="s">
        <v>120</v>
      </c>
      <c r="F15">
        <v>16000</v>
      </c>
      <c r="G15">
        <v>44</v>
      </c>
      <c r="H15" t="s">
        <v>95</v>
      </c>
      <c r="J15">
        <v>21</v>
      </c>
    </row>
    <row r="17" spans="4:5" x14ac:dyDescent="0.3">
      <c r="D17" t="s">
        <v>103</v>
      </c>
      <c r="E17" s="8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53" t="s">
        <v>116</v>
      </c>
      <c r="B1" s="53"/>
      <c r="C1" s="53"/>
      <c r="D1" s="53"/>
      <c r="E1" s="53"/>
      <c r="F1" s="53"/>
      <c r="G1" s="53"/>
      <c r="H1" s="53"/>
    </row>
    <row r="2" spans="1:10" ht="17.25" thickTop="1" x14ac:dyDescent="0.3"/>
    <row r="3" spans="1:10" x14ac:dyDescent="0.3">
      <c r="A3" s="30" t="s">
        <v>45</v>
      </c>
      <c r="B3" s="30" t="s">
        <v>46</v>
      </c>
      <c r="C3" s="30" t="s">
        <v>47</v>
      </c>
      <c r="D3" s="30" t="s">
        <v>48</v>
      </c>
      <c r="E3" s="30" t="s">
        <v>49</v>
      </c>
      <c r="F3" s="30" t="s">
        <v>50</v>
      </c>
      <c r="G3" s="30" t="s">
        <v>51</v>
      </c>
      <c r="H3" s="30" t="s">
        <v>52</v>
      </c>
      <c r="J3" t="s">
        <v>53</v>
      </c>
    </row>
    <row r="4" spans="1:10" x14ac:dyDescent="0.3">
      <c r="A4" s="54" t="s">
        <v>54</v>
      </c>
      <c r="B4" s="31" t="s">
        <v>55</v>
      </c>
      <c r="C4" s="31" t="s">
        <v>117</v>
      </c>
      <c r="D4" s="31" t="s">
        <v>57</v>
      </c>
      <c r="E4" s="32" t="s">
        <v>118</v>
      </c>
      <c r="F4" s="33">
        <v>5000</v>
      </c>
      <c r="G4" s="31">
        <v>100</v>
      </c>
      <c r="H4" s="31" t="s">
        <v>58</v>
      </c>
      <c r="J4">
        <v>5</v>
      </c>
    </row>
    <row r="5" spans="1:10" x14ac:dyDescent="0.3">
      <c r="A5" s="54"/>
      <c r="B5" s="31" t="s">
        <v>59</v>
      </c>
      <c r="C5" s="31" t="s">
        <v>105</v>
      </c>
      <c r="D5" s="31" t="s">
        <v>61</v>
      </c>
      <c r="E5" s="32" t="s">
        <v>121</v>
      </c>
      <c r="F5" s="33">
        <v>12500</v>
      </c>
      <c r="G5" s="31">
        <v>48</v>
      </c>
      <c r="H5" s="31" t="s">
        <v>62</v>
      </c>
      <c r="J5">
        <v>3</v>
      </c>
    </row>
    <row r="6" spans="1:10" x14ac:dyDescent="0.3">
      <c r="A6" s="54"/>
      <c r="B6" s="31" t="s">
        <v>63</v>
      </c>
      <c r="C6" s="31" t="s">
        <v>106</v>
      </c>
      <c r="D6" s="31" t="s">
        <v>65</v>
      </c>
      <c r="E6" s="32" t="s">
        <v>121</v>
      </c>
      <c r="F6" s="33">
        <v>15000</v>
      </c>
      <c r="G6" s="31">
        <v>96</v>
      </c>
      <c r="H6" s="31" t="s">
        <v>66</v>
      </c>
      <c r="J6">
        <v>10</v>
      </c>
    </row>
    <row r="7" spans="1:10" x14ac:dyDescent="0.3">
      <c r="A7" s="54" t="s">
        <v>67</v>
      </c>
      <c r="B7" s="31" t="s">
        <v>68</v>
      </c>
      <c r="C7" s="31" t="s">
        <v>107</v>
      </c>
      <c r="D7" s="31" t="s">
        <v>70</v>
      </c>
      <c r="E7" s="32" t="s">
        <v>119</v>
      </c>
      <c r="F7" s="33">
        <v>10000</v>
      </c>
      <c r="G7" s="31">
        <v>27</v>
      </c>
      <c r="H7" s="31" t="s">
        <v>62</v>
      </c>
      <c r="J7">
        <v>15</v>
      </c>
    </row>
    <row r="8" spans="1:10" x14ac:dyDescent="0.3">
      <c r="A8" s="54"/>
      <c r="B8" s="31" t="s">
        <v>71</v>
      </c>
      <c r="C8" s="31" t="s">
        <v>108</v>
      </c>
      <c r="D8" s="31" t="s">
        <v>73</v>
      </c>
      <c r="E8" s="32" t="s">
        <v>122</v>
      </c>
      <c r="F8" s="33">
        <v>6500</v>
      </c>
      <c r="G8" s="31">
        <v>71</v>
      </c>
      <c r="H8" s="31" t="s">
        <v>74</v>
      </c>
      <c r="J8">
        <v>14</v>
      </c>
    </row>
    <row r="9" spans="1:10" x14ac:dyDescent="0.3">
      <c r="A9" s="54"/>
      <c r="B9" s="31" t="s">
        <v>75</v>
      </c>
      <c r="C9" s="31" t="s">
        <v>109</v>
      </c>
      <c r="D9" s="31" t="s">
        <v>77</v>
      </c>
      <c r="E9" s="32" t="s">
        <v>122</v>
      </c>
      <c r="F9" s="33">
        <v>8500</v>
      </c>
      <c r="G9" s="31">
        <v>75</v>
      </c>
      <c r="H9" s="31" t="s">
        <v>58</v>
      </c>
      <c r="J9">
        <v>7</v>
      </c>
    </row>
    <row r="10" spans="1:10" x14ac:dyDescent="0.3">
      <c r="A10" s="54" t="s">
        <v>78</v>
      </c>
      <c r="B10" s="31" t="s">
        <v>79</v>
      </c>
      <c r="C10" s="31" t="s">
        <v>110</v>
      </c>
      <c r="D10" s="31" t="s">
        <v>81</v>
      </c>
      <c r="E10" s="32" t="s">
        <v>118</v>
      </c>
      <c r="F10" s="33">
        <v>6500</v>
      </c>
      <c r="G10" s="31">
        <v>38</v>
      </c>
      <c r="H10" s="31" t="s">
        <v>82</v>
      </c>
      <c r="J10">
        <v>5</v>
      </c>
    </row>
    <row r="11" spans="1:10" x14ac:dyDescent="0.3">
      <c r="A11" s="54"/>
      <c r="B11" s="31" t="s">
        <v>83</v>
      </c>
      <c r="C11" s="31" t="s">
        <v>111</v>
      </c>
      <c r="D11" s="31" t="s">
        <v>85</v>
      </c>
      <c r="E11" s="32" t="s">
        <v>123</v>
      </c>
      <c r="F11" s="33">
        <v>13500</v>
      </c>
      <c r="G11" s="31">
        <v>87</v>
      </c>
      <c r="H11" s="31" t="s">
        <v>86</v>
      </c>
      <c r="J11">
        <v>3</v>
      </c>
    </row>
    <row r="12" spans="1:10" x14ac:dyDescent="0.3">
      <c r="A12" s="54"/>
      <c r="B12" s="31" t="s">
        <v>87</v>
      </c>
      <c r="C12" s="31" t="s">
        <v>112</v>
      </c>
      <c r="D12" s="31" t="s">
        <v>89</v>
      </c>
      <c r="E12" s="32" t="s">
        <v>119</v>
      </c>
      <c r="F12" s="33">
        <v>7000</v>
      </c>
      <c r="G12" s="31">
        <v>60</v>
      </c>
      <c r="H12" s="31" t="s">
        <v>90</v>
      </c>
      <c r="J12">
        <v>9</v>
      </c>
    </row>
    <row r="13" spans="1:10" x14ac:dyDescent="0.3">
      <c r="A13" s="54" t="s">
        <v>91</v>
      </c>
      <c r="B13" s="31" t="s">
        <v>92</v>
      </c>
      <c r="C13" s="31" t="s">
        <v>113</v>
      </c>
      <c r="D13" s="31" t="s">
        <v>94</v>
      </c>
      <c r="E13" s="32" t="s">
        <v>120</v>
      </c>
      <c r="F13" s="33">
        <v>15000</v>
      </c>
      <c r="G13" s="31">
        <v>66</v>
      </c>
      <c r="H13" s="31" t="s">
        <v>95</v>
      </c>
      <c r="J13">
        <v>4</v>
      </c>
    </row>
    <row r="14" spans="1:10" x14ac:dyDescent="0.3">
      <c r="A14" s="54"/>
      <c r="B14" s="31" t="s">
        <v>96</v>
      </c>
      <c r="C14" s="31" t="s">
        <v>114</v>
      </c>
      <c r="D14" s="31" t="s">
        <v>98</v>
      </c>
      <c r="E14" s="32" t="s">
        <v>120</v>
      </c>
      <c r="F14" s="33">
        <v>18500</v>
      </c>
      <c r="G14" s="31">
        <v>93</v>
      </c>
      <c r="H14" s="31" t="s">
        <v>99</v>
      </c>
      <c r="J14">
        <v>10</v>
      </c>
    </row>
    <row r="15" spans="1:10" x14ac:dyDescent="0.3">
      <c r="A15" s="54"/>
      <c r="B15" s="31" t="s">
        <v>100</v>
      </c>
      <c r="C15" s="31" t="s">
        <v>115</v>
      </c>
      <c r="D15" s="31" t="s">
        <v>102</v>
      </c>
      <c r="E15" s="32" t="s">
        <v>120</v>
      </c>
      <c r="F15" s="33">
        <v>16000</v>
      </c>
      <c r="G15" s="31">
        <v>65</v>
      </c>
      <c r="H15" s="31" t="s">
        <v>95</v>
      </c>
      <c r="J15">
        <v>21</v>
      </c>
    </row>
    <row r="17" spans="4:5" x14ac:dyDescent="0.3">
      <c r="D17" t="s">
        <v>103</v>
      </c>
      <c r="E17" s="29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서식연습</vt:lpstr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2026-10-27T07:41:26Z</cp:lastPrinted>
  <dcterms:created xsi:type="dcterms:W3CDTF">2020-04-05T04:10:18Z</dcterms:created>
  <dcterms:modified xsi:type="dcterms:W3CDTF">2026-10-27T08:03:51Z</dcterms:modified>
</cp:coreProperties>
</file>