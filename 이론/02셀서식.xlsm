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10\이론\"/>
    </mc:Choice>
  </mc:AlternateContent>
  <xr:revisionPtr revIDLastSave="0" documentId="13_ncr:1_{F86C61C9-A93A-4897-A6E1-46BA26261D1F}" xr6:coauthVersionLast="47" xr6:coauthVersionMax="47" xr10:uidLastSave="{00000000-0000-0000-0000-000000000000}"/>
  <bookViews>
    <workbookView xWindow="22932" yWindow="-108" windowWidth="23256" windowHeight="12576" tabRatio="923" activeTab="5" xr2:uid="{00000000-000D-0000-FFFF-FFFF00000000}"/>
  </bookViews>
  <sheets>
    <sheet name="서식연습" sheetId="8" r:id="rId1"/>
    <sheet name="기본작업2-1" sheetId="4" r:id="rId2"/>
    <sheet name="기본작업2-1(결과)" sheetId="1" r:id="rId3"/>
    <sheet name="기본작업2-2" sheetId="5" r:id="rId4"/>
    <sheet name="기본작업2-2(결과)" sheetId="2" r:id="rId5"/>
    <sheet name="기본작업2-3" sheetId="7" r:id="rId6"/>
    <sheet name="기본작업2-3(결과)" sheetId="3" r:id="rId7"/>
  </sheets>
  <definedNames>
    <definedName name="배점">'기본작업2-2'!$D$4:$D$9</definedName>
    <definedName name="제품명">'기본작업2-1'!$C$5:$C$12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8" l="1"/>
  <c r="G14" i="8"/>
  <c r="F14" i="8"/>
  <c r="E14" i="8"/>
  <c r="D14" i="8"/>
  <c r="H13" i="8"/>
  <c r="G13" i="8"/>
  <c r="F13" i="8"/>
  <c r="E13" i="8"/>
  <c r="D13" i="8"/>
  <c r="I12" i="8"/>
  <c r="I11" i="8"/>
  <c r="I10" i="8"/>
  <c r="I9" i="8"/>
  <c r="I8" i="8"/>
  <c r="I7" i="8"/>
  <c r="I6" i="8"/>
  <c r="I5" i="8"/>
  <c r="H14" i="4"/>
  <c r="G14" i="4"/>
  <c r="F14" i="4"/>
  <c r="E14" i="4"/>
  <c r="D14" i="4"/>
  <c r="H13" i="4"/>
  <c r="G13" i="4"/>
  <c r="F13" i="4"/>
  <c r="E13" i="4"/>
  <c r="D13" i="4"/>
  <c r="I12" i="4"/>
  <c r="I11" i="4"/>
  <c r="I10" i="4"/>
  <c r="I9" i="4"/>
  <c r="I8" i="4"/>
  <c r="I7" i="4"/>
  <c r="I6" i="4"/>
  <c r="I5" i="4"/>
  <c r="H14" i="1" l="1"/>
  <c r="G14" i="1"/>
  <c r="F14" i="1"/>
  <c r="E14" i="1"/>
  <c r="D14" i="1"/>
  <c r="H13" i="1"/>
  <c r="G13" i="1"/>
  <c r="F13" i="1"/>
  <c r="E13" i="1"/>
  <c r="D13" i="1"/>
  <c r="I12" i="1"/>
  <c r="I11" i="1"/>
  <c r="I10" i="1"/>
  <c r="I9" i="1"/>
  <c r="I8" i="1"/>
  <c r="I7" i="1"/>
  <c r="I6" i="1"/>
  <c r="I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mbc</author>
  </authors>
  <commentList>
    <comment ref="I5" authorId="0" shapeId="0" xr:uid="{06F389F0-9482-459B-A633-41D3FA246309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5" authorId="0" shapeId="0" xr:uid="{D9CAFA41-995E-4733-8BE7-8253FA0B5429}">
      <text>
        <r>
          <rPr>
            <b/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sharedStrings.xml><?xml version="1.0" encoding="utf-8"?>
<sst xmlns="http://schemas.openxmlformats.org/spreadsheetml/2006/main" count="361" uniqueCount="173">
  <si>
    <t>영진유통 7월 라면류 매출현황</t>
    <phoneticPr fontId="2" type="noConversion"/>
  </si>
  <si>
    <t>인성인증 항목 및 배점표</t>
    <phoneticPr fontId="2" type="noConversion"/>
  </si>
  <si>
    <t>제품군</t>
    <phoneticPr fontId="2" type="noConversion"/>
  </si>
  <si>
    <t>제품명</t>
    <phoneticPr fontId="2" type="noConversion"/>
  </si>
  <si>
    <t>강남</t>
    <phoneticPr fontId="2" type="noConversion"/>
  </si>
  <si>
    <t>강북</t>
    <phoneticPr fontId="2" type="noConversion"/>
  </si>
  <si>
    <t>경기</t>
    <phoneticPr fontId="2" type="noConversion"/>
  </si>
  <si>
    <t>제품별합계</t>
    <phoneticPr fontId="2" type="noConversion"/>
  </si>
  <si>
    <t>서초마트</t>
    <phoneticPr fontId="2" type="noConversion"/>
  </si>
  <si>
    <t>방배마트</t>
    <phoneticPr fontId="2" type="noConversion"/>
  </si>
  <si>
    <t>미아마트</t>
    <phoneticPr fontId="2" type="noConversion"/>
  </si>
  <si>
    <t>수운마트</t>
    <phoneticPr fontId="2" type="noConversion"/>
  </si>
  <si>
    <t>용인마트</t>
    <phoneticPr fontId="2" type="noConversion"/>
  </si>
  <si>
    <t>짜장</t>
    <phoneticPr fontId="2" type="noConversion"/>
  </si>
  <si>
    <t>왕짜장면</t>
    <phoneticPr fontId="2" type="noConversion"/>
  </si>
  <si>
    <t>첨짜장면</t>
    <phoneticPr fontId="2" type="noConversion"/>
  </si>
  <si>
    <t>짬뽕</t>
    <phoneticPr fontId="2" type="noConversion"/>
  </si>
  <si>
    <t>왕짬뽕면</t>
    <phoneticPr fontId="2" type="noConversion"/>
  </si>
  <si>
    <t>첨짬뽕면</t>
    <phoneticPr fontId="2" type="noConversion"/>
  </si>
  <si>
    <t>핫짬뽕면</t>
    <phoneticPr fontId="2" type="noConversion"/>
  </si>
  <si>
    <t>비빔면</t>
    <phoneticPr fontId="2" type="noConversion"/>
  </si>
  <si>
    <t>열무비빔면</t>
    <phoneticPr fontId="2" type="noConversion"/>
  </si>
  <si>
    <t>고추장면</t>
    <phoneticPr fontId="2" type="noConversion"/>
  </si>
  <si>
    <t>메밀면</t>
    <phoneticPr fontId="2" type="noConversion"/>
  </si>
  <si>
    <t>마트별합계</t>
    <phoneticPr fontId="2" type="noConversion"/>
  </si>
  <si>
    <t>마트별평균</t>
    <phoneticPr fontId="2" type="noConversion"/>
  </si>
  <si>
    <t>인증영역</t>
    <phoneticPr fontId="2" type="noConversion"/>
  </si>
  <si>
    <t>인증항목</t>
    <phoneticPr fontId="2" type="noConversion"/>
  </si>
  <si>
    <t>내용</t>
    <phoneticPr fontId="2" type="noConversion"/>
  </si>
  <si>
    <t>배점</t>
    <phoneticPr fontId="2" type="noConversion"/>
  </si>
  <si>
    <t>회수</t>
    <phoneticPr fontId="2" type="noConversion"/>
  </si>
  <si>
    <t>최대배점</t>
    <phoneticPr fontId="2" type="noConversion"/>
  </si>
  <si>
    <t>기본영역</t>
    <phoneticPr fontId="2" type="noConversion"/>
  </si>
  <si>
    <t>출석률</t>
    <phoneticPr fontId="2" type="noConversion"/>
  </si>
  <si>
    <t>95~100</t>
    <phoneticPr fontId="2" type="noConversion"/>
  </si>
  <si>
    <t>90~95</t>
    <phoneticPr fontId="2" type="noConversion"/>
  </si>
  <si>
    <t>80~89</t>
    <phoneticPr fontId="2" type="noConversion"/>
  </si>
  <si>
    <t>인성점수</t>
    <phoneticPr fontId="2" type="noConversion"/>
  </si>
  <si>
    <t>문화관람</t>
    <phoneticPr fontId="2" type="noConversion"/>
  </si>
  <si>
    <t>헌혈</t>
    <phoneticPr fontId="2" type="noConversion"/>
  </si>
  <si>
    <t>헌혈참여</t>
    <phoneticPr fontId="2" type="noConversion"/>
  </si>
  <si>
    <t>교외봉사</t>
    <phoneticPr fontId="2" type="noConversion"/>
  </si>
  <si>
    <t>봉사시간</t>
    <phoneticPr fontId="2" type="noConversion"/>
  </si>
  <si>
    <t>구분</t>
    <phoneticPr fontId="2" type="noConversion"/>
  </si>
  <si>
    <t>제품명</t>
    <phoneticPr fontId="2" type="noConversion"/>
  </si>
  <si>
    <t>제품코드</t>
    <phoneticPr fontId="2" type="noConversion"/>
  </si>
  <si>
    <t>단위</t>
    <phoneticPr fontId="2" type="noConversion"/>
  </si>
  <si>
    <t>유통기한</t>
    <phoneticPr fontId="2" type="noConversion"/>
  </si>
  <si>
    <t>판매가</t>
    <phoneticPr fontId="2" type="noConversion"/>
  </si>
  <si>
    <t>판매량</t>
    <phoneticPr fontId="2" type="noConversion"/>
  </si>
  <si>
    <t>비고</t>
    <phoneticPr fontId="2" type="noConversion"/>
  </si>
  <si>
    <t>추가 판매량</t>
    <phoneticPr fontId="2" type="noConversion"/>
  </si>
  <si>
    <t>쿠키</t>
    <phoneticPr fontId="2" type="noConversion"/>
  </si>
  <si>
    <t>허니버터링쿠키</t>
    <phoneticPr fontId="2" type="noConversion"/>
  </si>
  <si>
    <t>150g</t>
    <phoneticPr fontId="2" type="noConversion"/>
  </si>
  <si>
    <t>일반</t>
    <phoneticPr fontId="2" type="noConversion"/>
  </si>
  <si>
    <t>바우바우콤보쿠키</t>
    <phoneticPr fontId="2" type="noConversion"/>
  </si>
  <si>
    <t>300g</t>
    <phoneticPr fontId="2" type="noConversion"/>
  </si>
  <si>
    <t>대형견</t>
    <phoneticPr fontId="2" type="noConversion"/>
  </si>
  <si>
    <t>유기농치즈쿠키</t>
    <phoneticPr fontId="2" type="noConversion"/>
  </si>
  <si>
    <t>100g</t>
    <phoneticPr fontId="2" type="noConversion"/>
  </si>
  <si>
    <t>소형견</t>
    <phoneticPr fontId="2" type="noConversion"/>
  </si>
  <si>
    <t>육포</t>
    <phoneticPr fontId="2" type="noConversion"/>
  </si>
  <si>
    <t>통가슴살육포</t>
    <phoneticPr fontId="2" type="noConversion"/>
  </si>
  <si>
    <t>250g</t>
    <phoneticPr fontId="2" type="noConversion"/>
  </si>
  <si>
    <t>오리오리육포</t>
    <phoneticPr fontId="2" type="noConversion"/>
  </si>
  <si>
    <t>70g</t>
    <phoneticPr fontId="2" type="noConversion"/>
  </si>
  <si>
    <t>소형견</t>
    <phoneticPr fontId="2" type="noConversion"/>
  </si>
  <si>
    <t>롤롤치킨육포</t>
    <phoneticPr fontId="2" type="noConversion"/>
  </si>
  <si>
    <t>120g</t>
    <phoneticPr fontId="2" type="noConversion"/>
  </si>
  <si>
    <t>껌</t>
    <phoneticPr fontId="2" type="noConversion"/>
  </si>
  <si>
    <t>왈왈크런치껌</t>
    <phoneticPr fontId="2" type="noConversion"/>
  </si>
  <si>
    <t>65g</t>
    <phoneticPr fontId="2" type="noConversion"/>
  </si>
  <si>
    <t>일반</t>
    <phoneticPr fontId="2" type="noConversion"/>
  </si>
  <si>
    <t>울트라치킨껌</t>
    <phoneticPr fontId="2" type="noConversion"/>
  </si>
  <si>
    <t>350g</t>
    <phoneticPr fontId="2" type="noConversion"/>
  </si>
  <si>
    <t>대형견</t>
    <phoneticPr fontId="2" type="noConversion"/>
  </si>
  <si>
    <t>칼슘가득껌</t>
    <phoneticPr fontId="2" type="noConversion"/>
  </si>
  <si>
    <t>85g</t>
    <phoneticPr fontId="2" type="noConversion"/>
  </si>
  <si>
    <t>소형견</t>
    <phoneticPr fontId="2" type="noConversion"/>
  </si>
  <si>
    <t>간식</t>
    <phoneticPr fontId="2" type="noConversion"/>
  </si>
  <si>
    <t>웰빙훈제케어간식</t>
    <phoneticPr fontId="2" type="noConversion"/>
  </si>
  <si>
    <t>120g</t>
    <phoneticPr fontId="2" type="noConversion"/>
  </si>
  <si>
    <t>기능성</t>
    <phoneticPr fontId="2" type="noConversion"/>
  </si>
  <si>
    <t>건강한오리육포</t>
    <phoneticPr fontId="2" type="noConversion"/>
  </si>
  <si>
    <t>100g</t>
    <phoneticPr fontId="2" type="noConversion"/>
  </si>
  <si>
    <t>기능성</t>
    <phoneticPr fontId="2" type="noConversion"/>
  </si>
  <si>
    <t>덴탈케어스틱</t>
    <phoneticPr fontId="2" type="noConversion"/>
  </si>
  <si>
    <t>95g</t>
    <phoneticPr fontId="2" type="noConversion"/>
  </si>
  <si>
    <t>작성일</t>
    <phoneticPr fontId="2" type="noConversion"/>
  </si>
  <si>
    <t>영화/演劇/전시회</t>
    <phoneticPr fontId="2" type="noConversion"/>
  </si>
  <si>
    <t>CK-02</t>
    <phoneticPr fontId="2" type="noConversion"/>
  </si>
  <si>
    <t>CK-03</t>
    <phoneticPr fontId="2" type="noConversion"/>
  </si>
  <si>
    <t>BJ-01</t>
    <phoneticPr fontId="2" type="noConversion"/>
  </si>
  <si>
    <t>BJ-02</t>
    <phoneticPr fontId="2" type="noConversion"/>
  </si>
  <si>
    <t>BJ-03</t>
    <phoneticPr fontId="2" type="noConversion"/>
  </si>
  <si>
    <t>GU-01</t>
    <phoneticPr fontId="2" type="noConversion"/>
  </si>
  <si>
    <t>GU-02</t>
    <phoneticPr fontId="2" type="noConversion"/>
  </si>
  <si>
    <t>GU-03</t>
    <phoneticPr fontId="2" type="noConversion"/>
  </si>
  <si>
    <t>SN-01</t>
    <phoneticPr fontId="2" type="noConversion"/>
  </si>
  <si>
    <t>SN-02</t>
    <phoneticPr fontId="2" type="noConversion"/>
  </si>
  <si>
    <t>SN-03</t>
    <phoneticPr fontId="2" type="noConversion"/>
  </si>
  <si>
    <t>○반려동물 간식 판매 현황○</t>
    <phoneticPr fontId="2" type="noConversion"/>
  </si>
  <si>
    <t>CK-01</t>
    <phoneticPr fontId="2" type="noConversion"/>
  </si>
  <si>
    <t>2026년 5월</t>
  </si>
  <si>
    <t>2026년 8월</t>
  </si>
  <si>
    <t>2027년 12월</t>
  </si>
  <si>
    <t>2025년 3월</t>
  </si>
  <si>
    <t>2025년 10월</t>
  </si>
  <si>
    <t>2025년 12월</t>
  </si>
  <si>
    <t>아기상어 MBC 1234 !@#$</t>
    <phoneticPr fontId="2" type="noConversion"/>
  </si>
  <si>
    <t>엄마상어 뚜루루뚜루</t>
    <phoneticPr fontId="2" type="noConversion"/>
  </si>
  <si>
    <t>마트별합계
수퍼 
편의점</t>
    <phoneticPr fontId="2" type="noConversion"/>
  </si>
  <si>
    <t>나는 무너 꿈을 꾸는 무너 나는 상어 부산에 사는 상어 나는 고래</t>
    <phoneticPr fontId="2" type="noConversion"/>
  </si>
  <si>
    <t>호랑이</t>
    <phoneticPr fontId="2" type="noConversion"/>
  </si>
  <si>
    <t>고양이</t>
    <phoneticPr fontId="2" type="noConversion"/>
  </si>
  <si>
    <t>사자</t>
    <phoneticPr fontId="2" type="noConversion"/>
  </si>
  <si>
    <t>늑대</t>
    <phoneticPr fontId="2" type="noConversion"/>
  </si>
  <si>
    <t>여우</t>
    <phoneticPr fontId="2" type="noConversion"/>
  </si>
  <si>
    <t>B3~I4</t>
    <phoneticPr fontId="2" type="noConversion"/>
  </si>
  <si>
    <t>B3:I4</t>
    <phoneticPr fontId="2" type="noConversion"/>
  </si>
  <si>
    <t>c5,C7,C9</t>
    <phoneticPr fontId="2" type="noConversion"/>
  </si>
  <si>
    <t>연속블럭</t>
    <phoneticPr fontId="2" type="noConversion"/>
  </si>
  <si>
    <t>비연속선택</t>
    <phoneticPr fontId="2" type="noConversion"/>
  </si>
  <si>
    <t>사용자 지정 형식</t>
    <phoneticPr fontId="2" type="noConversion"/>
  </si>
  <si>
    <t>부산 서면</t>
    <phoneticPr fontId="2" type="noConversion"/>
  </si>
  <si>
    <t>부산123456</t>
    <phoneticPr fontId="2" type="noConversion"/>
  </si>
  <si>
    <t>@ : 문자열
왼쪽정렬
날짜값도 모두숫자로 처리
0으로시작하는 숫자 표현가능</t>
    <phoneticPr fontId="2" type="noConversion"/>
  </si>
  <si>
    <t>"엑셀 "G/표준" 안 녕"</t>
    <phoneticPr fontId="2" type="noConversion"/>
  </si>
  <si>
    <t xml:space="preserve">"엑셀 "@" 안 녕"
"" 사용시 실제 데이터 앞뒤로 글자 추가
@, 0, G/표준 등 표시형식에 맞춰 표현가능 </t>
    <phoneticPr fontId="2" type="noConversion"/>
  </si>
  <si>
    <t>####
#:숫자 자릿수 - 숫자가 자릿수에 없을 경우 생략</t>
    <phoneticPr fontId="2" type="noConversion"/>
  </si>
  <si>
    <t xml:space="preserve">0000
0:숫자 자릿수 - 숫자가 자릿수에 없을 경우 0표시 </t>
    <phoneticPr fontId="2" type="noConversion"/>
  </si>
  <si>
    <t>#,##0
, : 천단위 구분 기호</t>
    <phoneticPr fontId="2" type="noConversion"/>
  </si>
  <si>
    <t>#,###,
: 천단위 이하 삭제</t>
    <phoneticPr fontId="2" type="noConversion"/>
  </si>
  <si>
    <t>#,###,"천원"</t>
    <phoneticPr fontId="2" type="noConversion"/>
  </si>
  <si>
    <t>#,##0.00
. : 소수점 자릿수
소수점을 기준으로 0,#을 이용해 자릿수 표현</t>
    <phoneticPr fontId="2" type="noConversion"/>
  </si>
  <si>
    <t>#,##0.##</t>
    <phoneticPr fontId="2" type="noConversion"/>
  </si>
  <si>
    <t>0"상승";0"하락;0"제자리"
3개일경우  양수;음수;0
- 텍스트 없음</t>
    <phoneticPr fontId="2" type="noConversion"/>
  </si>
  <si>
    <t>"양수"0.00;"음수"0.00
; 으로 데이터형식을 구분   
2개일경우  양수;음수
0은 양수로 인식
- 텍스트 없음</t>
    <phoneticPr fontId="2" type="noConversion"/>
  </si>
  <si>
    <t xml:space="preserve">[빨강]"▲"0;[파랑]0;0"제자리";[녹색]"글자"@
4개  양수;음수;0;텍스트
[] : 색상지정가능-맨앞에 위치
검정] [빨강] [파랑] [노랑] [자홍] [녹색] [녹청] [노랑] [흰색 - 8개
</t>
    <phoneticPr fontId="2" type="noConversion"/>
  </si>
  <si>
    <t>0.00%
% - 백분율</t>
    <phoneticPr fontId="2" type="noConversion"/>
  </si>
  <si>
    <t># ?/2
? : 1자리숫 숫자-없을경우 여백
/ : 소수점이하 분수로 표기</t>
    <phoneticPr fontId="2" type="noConversion"/>
  </si>
  <si>
    <t>456-789</t>
    <phoneticPr fontId="2" type="noConversion"/>
  </si>
  <si>
    <t>000-000
- :  숫자 사이에 하이픈 표기
숫자만 가능
실제 456-789 인경우 텍스트로 인지</t>
    <phoneticPr fontId="2" type="noConversion"/>
  </si>
  <si>
    <t>yyyy-mm-dd
날짜 시간을 표현
음수, 텍스트는 표현불가
1900-1-0 을 0으로 지정
1일 증가시 1증가
시간은 24시간을 1로 치환하여 계산</t>
    <phoneticPr fontId="2" type="noConversion"/>
  </si>
  <si>
    <t>y , yy: 년도 2자릿수</t>
    <phoneticPr fontId="2" type="noConversion"/>
  </si>
  <si>
    <t>yyy, yyyy : 년도 4자릿수</t>
    <phoneticPr fontId="2" type="noConversion"/>
  </si>
  <si>
    <t>m : 월 1자리</t>
    <phoneticPr fontId="2" type="noConversion"/>
  </si>
  <si>
    <t>mm : 월 2자리</t>
    <phoneticPr fontId="2" type="noConversion"/>
  </si>
  <si>
    <t>mmm : 월 영문 축약</t>
    <phoneticPr fontId="2" type="noConversion"/>
  </si>
  <si>
    <t>mmmm : 월 영문 전체</t>
    <phoneticPr fontId="2" type="noConversion"/>
  </si>
  <si>
    <t>d : 일 1자리</t>
    <phoneticPr fontId="2" type="noConversion"/>
  </si>
  <si>
    <t>dd : 일 2자리</t>
    <phoneticPr fontId="2" type="noConversion"/>
  </si>
  <si>
    <t>ddd : 요일 영문 축약</t>
    <phoneticPr fontId="2" type="noConversion"/>
  </si>
  <si>
    <t>dddd : 요일 영문 전체</t>
    <phoneticPr fontId="2" type="noConversion"/>
  </si>
  <si>
    <t>aaa : 요일 한글 축약</t>
    <phoneticPr fontId="2" type="noConversion"/>
  </si>
  <si>
    <t>aaaa : 요일 한글 전체</t>
    <phoneticPr fontId="2" type="noConversion"/>
  </si>
  <si>
    <t>AM/PM : 오전오후</t>
    <phoneticPr fontId="2" type="noConversion"/>
  </si>
  <si>
    <t>A/P : 오전오후</t>
    <phoneticPr fontId="2" type="noConversion"/>
  </si>
  <si>
    <t>am/pm : 오전오후</t>
    <phoneticPr fontId="2" type="noConversion"/>
  </si>
  <si>
    <t>a/p : 오전오후</t>
    <phoneticPr fontId="2" type="noConversion"/>
  </si>
  <si>
    <t>H : 24시간 시간 1자리</t>
    <phoneticPr fontId="2" type="noConversion"/>
  </si>
  <si>
    <t>HH : 24시간 시간 2자리</t>
    <phoneticPr fontId="2" type="noConversion"/>
  </si>
  <si>
    <t>H</t>
    <phoneticPr fontId="2" type="noConversion"/>
  </si>
  <si>
    <t>HH</t>
    <phoneticPr fontId="2" type="noConversion"/>
  </si>
  <si>
    <t>h am/pm : 12시간 시간 1자리</t>
    <phoneticPr fontId="2" type="noConversion"/>
  </si>
  <si>
    <t>hh am/pm : 12시간 시간 2자리</t>
    <phoneticPr fontId="2" type="noConversion"/>
  </si>
  <si>
    <t>s : 초 1자리</t>
    <phoneticPr fontId="2" type="noConversion"/>
  </si>
  <si>
    <t>ss : 초 2자리</t>
    <phoneticPr fontId="2" type="noConversion"/>
  </si>
  <si>
    <t>yyyy-mm  mm : 월</t>
    <phoneticPr fontId="2" type="noConversion"/>
  </si>
  <si>
    <t>hh:mm    mm : 분 2자리</t>
    <phoneticPr fontId="2" type="noConversion"/>
  </si>
  <si>
    <t>h:m    m : 분 1자리</t>
    <phoneticPr fontId="2" type="noConversion"/>
  </si>
  <si>
    <t>m:s    m: 분 1자리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</si>
</sst>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41" formatCode="_-* #,##0_-;\-* #,##0_-;_-* &quot;-&quot;_-;_-@_-"/>
    <numFmt numFmtId="176" formatCode="#,##0&quot;개&quot;"/>
    <numFmt numFmtId="177" formatCode="#.00"/>
    <numFmt numFmtId="178" formatCode="@&quot;%&quot;"/>
    <numFmt numFmtId="179" formatCode="0&quot;회&quot;"/>
    <numFmt numFmtId="180" formatCode="&quot;₩&quot;#,##0_);[Red]\(&quot;₩&quot;#,##0\)"/>
    <numFmt numFmtId="181" formatCode="@&quot;까지&quot;"/>
    <numFmt numFmtId="182" formatCode="@\ &quot;케로케로케로&quot;"/>
    <numFmt numFmtId="183" formatCode="#,##0.000_ "/>
    <numFmt numFmtId="184" formatCode="&quot;엑셀 &quot;@&quot; 안 녕&quot;"/>
    <numFmt numFmtId="185" formatCode="&quot;엑셀 &quot;General&quot; 안 녕&quot;"/>
    <numFmt numFmtId="186" formatCode="0000"/>
    <numFmt numFmtId="187" formatCode="####"/>
    <numFmt numFmtId="188" formatCode="#,###,"/>
    <numFmt numFmtId="189" formatCode="#,###,&quot;천원&quot;"/>
    <numFmt numFmtId="190" formatCode="#,##0.##"/>
    <numFmt numFmtId="191" formatCode="&quot;양수&quot;0.00;&quot;음수&quot;0.00"/>
    <numFmt numFmtId="192" formatCode="0&quot;상승&quot;;0&quot;하락&quot;;0&quot;제자리&quot;"/>
    <numFmt numFmtId="193" formatCode="[Red]&quot;▲&quot;0;[Blue]0;0&quot;제자리&quot;;[Green]&quot;글자&quot;@"/>
    <numFmt numFmtId="194" formatCode="#\ ?/2"/>
    <numFmt numFmtId="195" formatCode="000\-000"/>
    <numFmt numFmtId="196" formatCode="yy"/>
    <numFmt numFmtId="197" formatCode="yyyy"/>
    <numFmt numFmtId="198" formatCode="m"/>
    <numFmt numFmtId="199" formatCode="mm"/>
    <numFmt numFmtId="200" formatCode="mmm"/>
    <numFmt numFmtId="201" formatCode="mmmm"/>
    <numFmt numFmtId="202" formatCode="d"/>
    <numFmt numFmtId="203" formatCode="dd"/>
    <numFmt numFmtId="204" formatCode="ddd"/>
    <numFmt numFmtId="205" formatCode="dddd"/>
    <numFmt numFmtId="206" formatCode="aaa"/>
    <numFmt numFmtId="207" formatCode="aaaa"/>
    <numFmt numFmtId="208" formatCode="AM/PM"/>
    <numFmt numFmtId="209" formatCode="A/P"/>
    <numFmt numFmtId="210" formatCode="am/pm"/>
    <numFmt numFmtId="211" formatCode="a/p"/>
    <numFmt numFmtId="212" formatCode="h"/>
    <numFmt numFmtId="213" formatCode="hh"/>
    <numFmt numFmtId="214" formatCode="h\ am/pm"/>
    <numFmt numFmtId="215" formatCode="hh\ am/pm"/>
    <numFmt numFmtId="216" formatCode="s"/>
    <numFmt numFmtId="217" formatCode="ss"/>
    <numFmt numFmtId="218" formatCode="yyyy/mm"/>
    <numFmt numFmtId="219" formatCode="hh:mm"/>
    <numFmt numFmtId="220" formatCode="h:m"/>
    <numFmt numFmtId="221" formatCode="m:s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b/>
      <u val="double"/>
      <sz val="16"/>
      <color theme="1"/>
      <name val="HY견고딕"/>
      <family val="1"/>
      <charset val="129"/>
    </font>
    <font>
      <strike/>
      <u val="singleAccounting"/>
      <sz val="12"/>
      <color rgb="FF00B050"/>
      <name val="HY얕은샘물M"/>
      <family val="1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99FF"/>
        <bgColor indexed="64"/>
      </patternFill>
    </fill>
    <fill>
      <gradientFill degree="45">
        <stop position="0">
          <color theme="5"/>
        </stop>
        <stop position="1">
          <color rgb="FFFFFF00"/>
        </stop>
      </gradientFill>
    </fill>
    <fill>
      <patternFill patternType="gray0625">
        <fgColor rgb="FFFF0000"/>
        <bgColor theme="9" tint="0.59999389629810485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thin">
        <color indexed="64"/>
      </right>
      <top style="thin">
        <color indexed="64"/>
      </top>
      <bottom style="double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50"/>
      </bottom>
      <diagonal/>
    </border>
    <border>
      <left style="thin">
        <color indexed="64"/>
      </left>
      <right style="mediumDashed">
        <color rgb="FFFF0000"/>
      </right>
      <top style="thin">
        <color indexed="64"/>
      </top>
      <bottom style="double">
        <color rgb="FF00B050"/>
      </bottom>
      <diagonal/>
    </border>
    <border>
      <left style="mediumDashed">
        <color rgb="FFFF0000"/>
      </left>
      <right style="thin">
        <color indexed="64"/>
      </right>
      <top style="double">
        <color rgb="FF00B050"/>
      </top>
      <bottom style="double">
        <color rgb="FF00B050"/>
      </bottom>
      <diagonal/>
    </border>
    <border>
      <left style="thin">
        <color indexed="64"/>
      </left>
      <right style="thin">
        <color indexed="64"/>
      </right>
      <top style="double">
        <color rgb="FF00B050"/>
      </top>
      <bottom style="double">
        <color rgb="FF00B050"/>
      </bottom>
      <diagonal/>
    </border>
    <border>
      <left style="thin">
        <color indexed="64"/>
      </left>
      <right style="mediumDashed">
        <color rgb="FFFF0000"/>
      </right>
      <top style="double">
        <color rgb="FF00B050"/>
      </top>
      <bottom style="double">
        <color rgb="FF00B050"/>
      </bottom>
      <diagonal/>
    </border>
    <border>
      <left style="mediumDashed">
        <color rgb="FFFF0000"/>
      </left>
      <right style="thin">
        <color indexed="64"/>
      </right>
      <top style="double">
        <color rgb="FF00B05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50"/>
      </top>
      <bottom style="thin">
        <color indexed="64"/>
      </bottom>
      <diagonal/>
    </border>
    <border>
      <left style="thin">
        <color indexed="64"/>
      </left>
      <right style="mediumDashed">
        <color rgb="FFFF0000"/>
      </right>
      <top style="double">
        <color rgb="FF00B050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mediumDashDotDot">
        <color rgb="FF0070C0"/>
      </diagonal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DashDotDot">
        <color rgb="FF0070C0"/>
      </diagonal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mediumDashDotDot">
        <color rgb="FF0070C0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mediumDashDotDot">
        <color rgb="FF0070C0"/>
      </diagonal>
    </border>
    <border>
      <left style="thin">
        <color indexed="64"/>
      </left>
      <right/>
      <top/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2" borderId="0" applyNumberFormat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6" fontId="0" fillId="0" borderId="2" xfId="1" applyNumberFormat="1" applyFont="1" applyBorder="1">
      <alignment vertical="center"/>
    </xf>
    <xf numFmtId="41" fontId="0" fillId="0" borderId="2" xfId="1" applyFont="1" applyBorder="1">
      <alignment vertical="center"/>
    </xf>
    <xf numFmtId="0" fontId="0" fillId="0" borderId="4" xfId="0" applyBorder="1" applyAlignment="1">
      <alignment horizontal="center" vertical="center"/>
    </xf>
    <xf numFmtId="41" fontId="0" fillId="0" borderId="7" xfId="1" applyFont="1" applyBorder="1">
      <alignment vertical="center"/>
    </xf>
    <xf numFmtId="177" fontId="0" fillId="0" borderId="9" xfId="0" applyNumberFormat="1" applyBorder="1">
      <alignment vertical="center"/>
    </xf>
    <xf numFmtId="41" fontId="0" fillId="0" borderId="12" xfId="1" applyFont="1" applyBorder="1">
      <alignment vertical="center"/>
    </xf>
    <xf numFmtId="0" fontId="0" fillId="0" borderId="11" xfId="0" applyBorder="1">
      <alignment vertical="center"/>
    </xf>
    <xf numFmtId="178" fontId="3" fillId="0" borderId="2" xfId="0" applyNumberFormat="1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179" fontId="3" fillId="0" borderId="2" xfId="0" applyNumberFormat="1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right" vertical="center" shrinkToFit="1"/>
    </xf>
    <xf numFmtId="0" fontId="5" fillId="2" borderId="3" xfId="3" applyBorder="1" applyAlignment="1">
      <alignment horizontal="center" vertical="center"/>
    </xf>
    <xf numFmtId="0" fontId="5" fillId="2" borderId="4" xfId="3" applyBorder="1" applyAlignment="1">
      <alignment horizontal="center" vertical="center"/>
    </xf>
    <xf numFmtId="0" fontId="5" fillId="2" borderId="5" xfId="3" applyBorder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9" xfId="0" applyFont="1" applyBorder="1" applyAlignment="1">
      <alignment horizontal="right" vertical="center"/>
    </xf>
    <xf numFmtId="179" fontId="3" fillId="0" borderId="9" xfId="0" applyNumberFormat="1" applyFont="1" applyBorder="1" applyAlignment="1">
      <alignment vertical="center"/>
    </xf>
    <xf numFmtId="57" fontId="0" fillId="0" borderId="0" xfId="0" applyNumberFormat="1">
      <alignment vertical="center"/>
    </xf>
    <xf numFmtId="0" fontId="0" fillId="4" borderId="13" xfId="0" applyFill="1" applyBorder="1">
      <alignment vertical="center"/>
    </xf>
    <xf numFmtId="0" fontId="0" fillId="0" borderId="13" xfId="0" applyBorder="1">
      <alignment vertical="center"/>
    </xf>
    <xf numFmtId="181" fontId="0" fillId="0" borderId="13" xfId="0" applyNumberFormat="1" applyBorder="1">
      <alignment vertical="center"/>
    </xf>
    <xf numFmtId="180" fontId="0" fillId="0" borderId="13" xfId="0" applyNumberFormat="1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3" fontId="0" fillId="0" borderId="15" xfId="1" applyNumberFormat="1" applyFont="1" applyBorder="1">
      <alignment vertical="center"/>
    </xf>
    <xf numFmtId="183" fontId="0" fillId="0" borderId="16" xfId="1" applyNumberFormat="1" applyFont="1" applyBorder="1">
      <alignment vertical="center"/>
    </xf>
    <xf numFmtId="183" fontId="0" fillId="0" borderId="17" xfId="1" applyNumberFormat="1" applyFont="1" applyBorder="1">
      <alignment vertical="center"/>
    </xf>
    <xf numFmtId="183" fontId="0" fillId="0" borderId="18" xfId="1" applyNumberFormat="1" applyFont="1" applyBorder="1">
      <alignment vertical="center"/>
    </xf>
    <xf numFmtId="183" fontId="0" fillId="0" borderId="19" xfId="1" applyNumberFormat="1" applyFont="1" applyBorder="1">
      <alignment vertical="center"/>
    </xf>
    <xf numFmtId="183" fontId="0" fillId="0" borderId="20" xfId="1" applyNumberFormat="1" applyFont="1" applyBorder="1">
      <alignment vertical="center"/>
    </xf>
    <xf numFmtId="183" fontId="0" fillId="0" borderId="21" xfId="1" applyNumberFormat="1" applyFont="1" applyBorder="1">
      <alignment vertical="center"/>
    </xf>
    <xf numFmtId="183" fontId="0" fillId="0" borderId="22" xfId="1" applyNumberFormat="1" applyFont="1" applyBorder="1">
      <alignment vertical="center"/>
    </xf>
    <xf numFmtId="183" fontId="0" fillId="0" borderId="23" xfId="1" applyNumberFormat="1" applyFont="1" applyBorder="1">
      <alignment vertical="center"/>
    </xf>
    <xf numFmtId="0" fontId="0" fillId="5" borderId="4" xfId="0" applyFill="1" applyBorder="1" applyAlignment="1">
      <alignment horizontal="center" vertical="center"/>
    </xf>
    <xf numFmtId="0" fontId="0" fillId="7" borderId="6" xfId="0" applyFill="1" applyBorder="1">
      <alignment vertical="center"/>
    </xf>
    <xf numFmtId="0" fontId="0" fillId="7" borderId="1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6" xfId="0" applyFill="1" applyBorder="1" applyAlignment="1">
      <alignment vertical="distributed" wrapText="1"/>
    </xf>
    <xf numFmtId="0" fontId="0" fillId="6" borderId="2" xfId="0" applyFill="1" applyBorder="1" applyAlignment="1">
      <alignment vertical="distributed"/>
    </xf>
    <xf numFmtId="0" fontId="0" fillId="6" borderId="2" xfId="1" applyNumberFormat="1" applyFont="1" applyFill="1" applyBorder="1" applyAlignment="1">
      <alignment vertical="distributed"/>
    </xf>
    <xf numFmtId="0" fontId="0" fillId="6" borderId="7" xfId="1" applyNumberFormat="1" applyFont="1" applyFill="1" applyBorder="1" applyAlignment="1">
      <alignment vertical="distributed"/>
    </xf>
    <xf numFmtId="0" fontId="0" fillId="6" borderId="8" xfId="0" applyFill="1" applyBorder="1" applyAlignment="1">
      <alignment vertical="distributed"/>
    </xf>
    <xf numFmtId="0" fontId="0" fillId="6" borderId="9" xfId="0" applyFill="1" applyBorder="1" applyAlignment="1">
      <alignment vertical="distributed"/>
    </xf>
    <xf numFmtId="0" fontId="0" fillId="6" borderId="9" xfId="0" applyNumberFormat="1" applyFill="1" applyBorder="1" applyAlignment="1">
      <alignment vertical="distributed"/>
    </xf>
    <xf numFmtId="0" fontId="0" fillId="6" borderId="10" xfId="0" applyFill="1" applyBorder="1" applyAlignment="1">
      <alignment vertical="distributed"/>
    </xf>
    <xf numFmtId="0" fontId="0" fillId="0" borderId="0" xfId="0" applyAlignment="1">
      <alignment vertical="center" wrapText="1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textRotation="75"/>
    </xf>
    <xf numFmtId="0" fontId="0" fillId="0" borderId="0" xfId="0" applyAlignment="1">
      <alignment vertical="center" textRotation="166"/>
    </xf>
    <xf numFmtId="0" fontId="0" fillId="0" borderId="0" xfId="0" applyAlignment="1">
      <alignment vertical="center" textRotation="255"/>
    </xf>
    <xf numFmtId="0" fontId="0" fillId="0" borderId="0" xfId="0" applyAlignment="1">
      <alignment vertical="center" textRotation="135"/>
    </xf>
    <xf numFmtId="0" fontId="0" fillId="0" borderId="0" xfId="0" applyAlignment="1">
      <alignment horizontal="centerContinuous" vertical="center"/>
    </xf>
    <xf numFmtId="2" fontId="0" fillId="0" borderId="9" xfId="0" applyNumberFormat="1" applyBorder="1">
      <alignment vertical="center"/>
    </xf>
    <xf numFmtId="22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2" xfId="0" quotePrefix="1" applyBorder="1" applyAlignment="1">
      <alignment vertical="center" wrapText="1"/>
    </xf>
    <xf numFmtId="0" fontId="0" fillId="0" borderId="2" xfId="0" quotePrefix="1" applyFill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49" fontId="0" fillId="0" borderId="2" xfId="0" applyNumberFormat="1" applyBorder="1">
      <alignment vertical="center"/>
    </xf>
    <xf numFmtId="184" fontId="0" fillId="0" borderId="2" xfId="0" applyNumberFormat="1" applyBorder="1">
      <alignment vertical="center"/>
    </xf>
    <xf numFmtId="185" fontId="0" fillId="0" borderId="2" xfId="0" applyNumberFormat="1" applyBorder="1">
      <alignment vertical="center"/>
    </xf>
    <xf numFmtId="14" fontId="0" fillId="0" borderId="2" xfId="0" applyNumberFormat="1" applyBorder="1">
      <alignment vertical="center"/>
    </xf>
    <xf numFmtId="22" fontId="0" fillId="0" borderId="2" xfId="0" applyNumberFormat="1" applyBorder="1">
      <alignment vertical="center"/>
    </xf>
    <xf numFmtId="186" fontId="0" fillId="0" borderId="2" xfId="0" applyNumberFormat="1" applyBorder="1">
      <alignment vertical="center"/>
    </xf>
    <xf numFmtId="187" fontId="0" fillId="0" borderId="2" xfId="0" applyNumberFormat="1" applyBorder="1">
      <alignment vertical="center"/>
    </xf>
    <xf numFmtId="3" fontId="0" fillId="0" borderId="2" xfId="0" applyNumberFormat="1" applyBorder="1">
      <alignment vertical="center"/>
    </xf>
    <xf numFmtId="188" fontId="0" fillId="0" borderId="2" xfId="0" applyNumberFormat="1" applyBorder="1">
      <alignment vertical="center"/>
    </xf>
    <xf numFmtId="189" fontId="0" fillId="0" borderId="2" xfId="0" applyNumberFormat="1" applyBorder="1">
      <alignment vertical="center"/>
    </xf>
    <xf numFmtId="4" fontId="0" fillId="0" borderId="2" xfId="0" applyNumberFormat="1" applyBorder="1">
      <alignment vertical="center"/>
    </xf>
    <xf numFmtId="190" fontId="0" fillId="0" borderId="2" xfId="0" applyNumberFormat="1" applyBorder="1">
      <alignment vertical="center"/>
    </xf>
    <xf numFmtId="191" fontId="0" fillId="0" borderId="2" xfId="0" applyNumberFormat="1" applyBorder="1">
      <alignment vertical="center"/>
    </xf>
    <xf numFmtId="192" fontId="0" fillId="0" borderId="2" xfId="0" applyNumberFormat="1" applyBorder="1">
      <alignment vertical="center"/>
    </xf>
    <xf numFmtId="193" fontId="0" fillId="0" borderId="2" xfId="0" applyNumberFormat="1" applyBorder="1">
      <alignment vertical="center"/>
    </xf>
    <xf numFmtId="10" fontId="0" fillId="0" borderId="2" xfId="0" applyNumberFormat="1" applyBorder="1">
      <alignment vertical="center"/>
    </xf>
    <xf numFmtId="194" fontId="0" fillId="0" borderId="2" xfId="0" applyNumberFormat="1" applyBorder="1">
      <alignment vertical="center"/>
    </xf>
    <xf numFmtId="195" fontId="0" fillId="0" borderId="2" xfId="0" applyNumberFormat="1" applyBorder="1">
      <alignment vertical="center"/>
    </xf>
    <xf numFmtId="196" fontId="0" fillId="0" borderId="2" xfId="0" applyNumberFormat="1" applyBorder="1">
      <alignment vertical="center"/>
    </xf>
    <xf numFmtId="197" fontId="0" fillId="0" borderId="2" xfId="0" applyNumberFormat="1" applyBorder="1">
      <alignment vertical="center"/>
    </xf>
    <xf numFmtId="198" fontId="0" fillId="0" borderId="2" xfId="0" applyNumberFormat="1" applyBorder="1">
      <alignment vertical="center"/>
    </xf>
    <xf numFmtId="199" fontId="0" fillId="0" borderId="2" xfId="0" applyNumberFormat="1" applyBorder="1">
      <alignment vertical="center"/>
    </xf>
    <xf numFmtId="200" fontId="0" fillId="0" borderId="2" xfId="0" applyNumberFormat="1" applyBorder="1">
      <alignment vertical="center"/>
    </xf>
    <xf numFmtId="201" fontId="0" fillId="0" borderId="2" xfId="0" applyNumberFormat="1" applyBorder="1">
      <alignment vertical="center"/>
    </xf>
    <xf numFmtId="202" fontId="0" fillId="0" borderId="2" xfId="0" applyNumberFormat="1" applyBorder="1">
      <alignment vertical="center"/>
    </xf>
    <xf numFmtId="203" fontId="0" fillId="0" borderId="2" xfId="0" applyNumberFormat="1" applyBorder="1">
      <alignment vertical="center"/>
    </xf>
    <xf numFmtId="204" fontId="0" fillId="0" borderId="2" xfId="0" applyNumberFormat="1" applyBorder="1">
      <alignment vertical="center"/>
    </xf>
    <xf numFmtId="205" fontId="0" fillId="0" borderId="2" xfId="0" applyNumberFormat="1" applyBorder="1">
      <alignment vertical="center"/>
    </xf>
    <xf numFmtId="206" fontId="0" fillId="0" borderId="2" xfId="0" applyNumberFormat="1" applyBorder="1">
      <alignment vertical="center"/>
    </xf>
    <xf numFmtId="207" fontId="0" fillId="0" borderId="2" xfId="0" applyNumberFormat="1" applyBorder="1">
      <alignment vertical="center"/>
    </xf>
    <xf numFmtId="208" fontId="0" fillId="0" borderId="2" xfId="0" applyNumberFormat="1" applyBorder="1">
      <alignment vertical="center"/>
    </xf>
    <xf numFmtId="209" fontId="0" fillId="0" borderId="2" xfId="0" applyNumberFormat="1" applyBorder="1">
      <alignment vertical="center"/>
    </xf>
    <xf numFmtId="210" fontId="0" fillId="0" borderId="2" xfId="0" applyNumberFormat="1" applyBorder="1">
      <alignment vertical="center"/>
    </xf>
    <xf numFmtId="211" fontId="0" fillId="0" borderId="2" xfId="0" applyNumberFormat="1" applyBorder="1">
      <alignment vertical="center"/>
    </xf>
    <xf numFmtId="212" fontId="0" fillId="0" borderId="2" xfId="0" applyNumberFormat="1" applyBorder="1">
      <alignment vertical="center"/>
    </xf>
    <xf numFmtId="213" fontId="0" fillId="0" borderId="2" xfId="0" applyNumberFormat="1" applyBorder="1">
      <alignment vertical="center"/>
    </xf>
    <xf numFmtId="214" fontId="0" fillId="0" borderId="2" xfId="0" applyNumberFormat="1" applyBorder="1">
      <alignment vertical="center"/>
    </xf>
    <xf numFmtId="215" fontId="0" fillId="0" borderId="2" xfId="0" applyNumberFormat="1" applyBorder="1">
      <alignment vertical="center"/>
    </xf>
    <xf numFmtId="216" fontId="0" fillId="0" borderId="2" xfId="0" applyNumberFormat="1" applyBorder="1">
      <alignment vertical="center"/>
    </xf>
    <xf numFmtId="217" fontId="0" fillId="0" borderId="2" xfId="0" applyNumberFormat="1" applyBorder="1">
      <alignment vertical="center"/>
    </xf>
    <xf numFmtId="218" fontId="0" fillId="0" borderId="2" xfId="0" applyNumberFormat="1" applyBorder="1">
      <alignment vertical="center"/>
    </xf>
    <xf numFmtId="219" fontId="0" fillId="0" borderId="2" xfId="0" applyNumberFormat="1" applyBorder="1">
      <alignment vertical="center"/>
    </xf>
    <xf numFmtId="220" fontId="0" fillId="0" borderId="2" xfId="0" applyNumberFormat="1" applyBorder="1">
      <alignment vertical="center"/>
    </xf>
    <xf numFmtId="221" fontId="0" fillId="0" borderId="2" xfId="0" applyNumberFormat="1" applyBorder="1">
      <alignment vertical="center"/>
    </xf>
    <xf numFmtId="182" fontId="9" fillId="4" borderId="2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24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distributed" vertical="center"/>
    </xf>
    <xf numFmtId="0" fontId="0" fillId="0" borderId="2" xfId="0" applyBorder="1" applyAlignment="1">
      <alignment horizontal="distributed" vertical="center"/>
    </xf>
    <xf numFmtId="0" fontId="0" fillId="0" borderId="8" xfId="0" applyBorder="1" applyAlignment="1">
      <alignment horizontal="distributed" vertical="center"/>
    </xf>
    <xf numFmtId="0" fontId="0" fillId="0" borderId="9" xfId="0" applyBorder="1" applyAlignment="1">
      <alignment horizontal="distributed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0" fontId="3" fillId="0" borderId="10" xfId="0" applyNumberFormat="1" applyFont="1" applyBorder="1" applyAlignment="1">
      <alignment horizontal="center" vertical="center"/>
    </xf>
    <xf numFmtId="0" fontId="4" fillId="0" borderId="1" xfId="2" applyAlignment="1">
      <alignment horizontal="center" vertical="center"/>
    </xf>
    <xf numFmtId="0" fontId="0" fillId="4" borderId="13" xfId="0" applyFill="1" applyBorder="1" applyAlignment="1">
      <alignment horizontal="center" vertical="center"/>
    </xf>
  </cellXfs>
  <cellStyles count="4">
    <cellStyle name="강조색4" xfId="3" builtinId="41"/>
    <cellStyle name="쉼표 [0]" xfId="1" builtinId="6"/>
    <cellStyle name="제목 1" xfId="2" builtinId="16"/>
    <cellStyle name="표준" xfId="0" builtinId="0"/>
  </cellStyles>
  <dxfs count="0"/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E3A8F-3F87-41B7-8C5D-4550B897FA54}">
  <dimension ref="B1:N119"/>
  <sheetViews>
    <sheetView topLeftCell="A103" zoomScale="130" zoomScaleNormal="130" zoomScaleSheetLayoutView="100" zoomScalePageLayoutView="85" workbookViewId="0">
      <selection activeCell="E88" sqref="E88:G119"/>
    </sheetView>
  </sheetViews>
  <sheetFormatPr defaultRowHeight="16.5" x14ac:dyDescent="0.3"/>
  <cols>
    <col min="2" max="2" width="10.625" customWidth="1"/>
    <col min="3" max="3" width="16.625" bestFit="1" customWidth="1"/>
    <col min="4" max="4" width="19.375" customWidth="1"/>
    <col min="5" max="5" width="24.625" customWidth="1"/>
    <col min="6" max="6" width="18.5" bestFit="1" customWidth="1"/>
    <col min="7" max="7" width="17.125" customWidth="1"/>
    <col min="8" max="8" width="17.75" customWidth="1"/>
    <col min="9" max="9" width="20.875" customWidth="1"/>
    <col min="10" max="10" width="16.625" bestFit="1" customWidth="1"/>
    <col min="11" max="12" width="20.875" customWidth="1"/>
    <col min="13" max="13" width="37.5" customWidth="1"/>
    <col min="14" max="14" width="16.625" bestFit="1" customWidth="1"/>
  </cols>
  <sheetData>
    <row r="1" spans="2:9" x14ac:dyDescent="0.3">
      <c r="B1" s="108" t="s">
        <v>110</v>
      </c>
      <c r="C1" s="109"/>
      <c r="D1" s="109"/>
      <c r="E1" s="109"/>
      <c r="F1" s="109"/>
      <c r="G1" s="109"/>
      <c r="H1" s="109"/>
      <c r="I1" s="109"/>
    </row>
    <row r="2" spans="2:9" ht="43.5" customHeight="1" thickBot="1" x14ac:dyDescent="0.35">
      <c r="B2" s="57" t="s">
        <v>111</v>
      </c>
      <c r="C2" s="57"/>
      <c r="D2" s="57"/>
      <c r="E2" s="57"/>
      <c r="F2" s="57"/>
      <c r="G2" s="57"/>
      <c r="H2" s="57"/>
      <c r="I2" s="57"/>
    </row>
    <row r="3" spans="2:9" ht="45" customHeight="1" x14ac:dyDescent="0.3">
      <c r="B3" s="110" t="s">
        <v>2</v>
      </c>
      <c r="C3" s="112" t="s">
        <v>3</v>
      </c>
      <c r="D3" s="112" t="s">
        <v>4</v>
      </c>
      <c r="E3" s="112"/>
      <c r="F3" s="39" t="s">
        <v>5</v>
      </c>
      <c r="G3" s="112" t="s">
        <v>6</v>
      </c>
      <c r="H3" s="112"/>
      <c r="I3" s="114" t="s">
        <v>7</v>
      </c>
    </row>
    <row r="4" spans="2:9" ht="37.5" customHeight="1" x14ac:dyDescent="0.3">
      <c r="B4" s="111"/>
      <c r="C4" s="113"/>
      <c r="D4" s="42" t="s">
        <v>8</v>
      </c>
      <c r="E4" s="42" t="s">
        <v>9</v>
      </c>
      <c r="F4" s="42" t="s">
        <v>10</v>
      </c>
      <c r="G4" s="42" t="s">
        <v>11</v>
      </c>
      <c r="H4" s="42" t="s">
        <v>12</v>
      </c>
      <c r="I4" s="115"/>
    </row>
    <row r="5" spans="2:9" ht="30" customHeight="1" thickBot="1" x14ac:dyDescent="0.35">
      <c r="B5" s="40" t="s">
        <v>13</v>
      </c>
      <c r="C5" s="41" t="s">
        <v>14</v>
      </c>
      <c r="D5" s="30">
        <v>125</v>
      </c>
      <c r="E5" s="31">
        <v>156</v>
      </c>
      <c r="F5" s="31">
        <v>204</v>
      </c>
      <c r="G5" s="31">
        <v>157</v>
      </c>
      <c r="H5" s="31">
        <v>347</v>
      </c>
      <c r="I5" s="32">
        <f>SUM(D5:H5)</f>
        <v>989</v>
      </c>
    </row>
    <row r="6" spans="2:9" ht="18" thickTop="1" thickBot="1" x14ac:dyDescent="0.35">
      <c r="B6" s="40"/>
      <c r="C6" s="41" t="s">
        <v>15</v>
      </c>
      <c r="D6" s="33">
        <v>52</v>
      </c>
      <c r="E6" s="34">
        <v>36</v>
      </c>
      <c r="F6" s="34">
        <v>27</v>
      </c>
      <c r="G6" s="34">
        <v>47</v>
      </c>
      <c r="H6" s="34">
        <v>36</v>
      </c>
      <c r="I6" s="35">
        <f t="shared" ref="I6:I12" si="0">SUM(D6:H6)</f>
        <v>198</v>
      </c>
    </row>
    <row r="7" spans="2:9" ht="18" thickTop="1" thickBot="1" x14ac:dyDescent="0.35">
      <c r="B7" s="40" t="s">
        <v>16</v>
      </c>
      <c r="C7" s="41" t="s">
        <v>17</v>
      </c>
      <c r="D7" s="33">
        <v>25</v>
      </c>
      <c r="E7" s="34">
        <v>58</v>
      </c>
      <c r="F7" s="34">
        <v>56</v>
      </c>
      <c r="G7" s="34">
        <v>32</v>
      </c>
      <c r="H7" s="34">
        <v>24</v>
      </c>
      <c r="I7" s="35">
        <f>SUM(D7:H7)</f>
        <v>195</v>
      </c>
    </row>
    <row r="8" spans="2:9" ht="18" thickTop="1" thickBot="1" x14ac:dyDescent="0.35">
      <c r="B8" s="40"/>
      <c r="C8" s="41" t="s">
        <v>18</v>
      </c>
      <c r="D8" s="33">
        <v>34</v>
      </c>
      <c r="E8" s="34">
        <v>62</v>
      </c>
      <c r="F8" s="34">
        <v>62</v>
      </c>
      <c r="G8" s="34">
        <v>34</v>
      </c>
      <c r="H8" s="34">
        <v>82</v>
      </c>
      <c r="I8" s="35">
        <f>SUM(D8:H8)</f>
        <v>274</v>
      </c>
    </row>
    <row r="9" spans="2:9" ht="18" thickTop="1" thickBot="1" x14ac:dyDescent="0.35">
      <c r="B9" s="40"/>
      <c r="C9" s="41" t="s">
        <v>19</v>
      </c>
      <c r="D9" s="33">
        <v>85</v>
      </c>
      <c r="E9" s="34">
        <v>36</v>
      </c>
      <c r="F9" s="34">
        <v>75</v>
      </c>
      <c r="G9" s="34">
        <v>64</v>
      </c>
      <c r="H9" s="34">
        <v>28</v>
      </c>
      <c r="I9" s="35">
        <f>SUM(D9:H9)</f>
        <v>288</v>
      </c>
    </row>
    <row r="10" spans="2:9" ht="18" thickTop="1" thickBot="1" x14ac:dyDescent="0.35">
      <c r="B10" s="40" t="s">
        <v>20</v>
      </c>
      <c r="C10" s="41" t="s">
        <v>21</v>
      </c>
      <c r="D10" s="33">
        <v>68</v>
      </c>
      <c r="E10" s="34">
        <v>92</v>
      </c>
      <c r="F10" s="34">
        <v>51</v>
      </c>
      <c r="G10" s="34">
        <v>73</v>
      </c>
      <c r="H10" s="34">
        <v>54</v>
      </c>
      <c r="I10" s="35">
        <f t="shared" si="0"/>
        <v>338</v>
      </c>
    </row>
    <row r="11" spans="2:9" ht="18" thickTop="1" thickBot="1" x14ac:dyDescent="0.35">
      <c r="B11" s="40"/>
      <c r="C11" s="41" t="s">
        <v>22</v>
      </c>
      <c r="D11" s="33">
        <v>31</v>
      </c>
      <c r="E11" s="34">
        <v>30</v>
      </c>
      <c r="F11" s="34">
        <v>42</v>
      </c>
      <c r="G11" s="34">
        <v>17</v>
      </c>
      <c r="H11" s="34">
        <v>25</v>
      </c>
      <c r="I11" s="35">
        <f t="shared" si="0"/>
        <v>145</v>
      </c>
    </row>
    <row r="12" spans="2:9" ht="17.25" thickTop="1" x14ac:dyDescent="0.3">
      <c r="B12" s="40"/>
      <c r="C12" s="41" t="s">
        <v>23</v>
      </c>
      <c r="D12" s="36">
        <v>106</v>
      </c>
      <c r="E12" s="37">
        <v>88</v>
      </c>
      <c r="F12" s="37">
        <v>124</v>
      </c>
      <c r="G12" s="37">
        <v>64</v>
      </c>
      <c r="H12" s="37">
        <v>72</v>
      </c>
      <c r="I12" s="38">
        <f t="shared" si="0"/>
        <v>454</v>
      </c>
    </row>
    <row r="13" spans="2:9" ht="97.5" customHeight="1" x14ac:dyDescent="0.3">
      <c r="B13" s="43" t="s">
        <v>112</v>
      </c>
      <c r="C13" s="44"/>
      <c r="D13" s="45">
        <f t="shared" ref="D13:H13" si="1">SUM(D5:D12)</f>
        <v>526</v>
      </c>
      <c r="E13" s="45">
        <f t="shared" si="1"/>
        <v>558</v>
      </c>
      <c r="F13" s="45">
        <f t="shared" si="1"/>
        <v>641</v>
      </c>
      <c r="G13" s="45">
        <f t="shared" si="1"/>
        <v>488</v>
      </c>
      <c r="H13" s="45">
        <f t="shared" si="1"/>
        <v>668</v>
      </c>
      <c r="I13" s="46"/>
    </row>
    <row r="14" spans="2:9" ht="39" customHeight="1" thickBot="1" x14ac:dyDescent="0.35">
      <c r="B14" s="47" t="s">
        <v>25</v>
      </c>
      <c r="C14" s="48"/>
      <c r="D14" s="49">
        <f>AVERAGE(D5:D12)</f>
        <v>65.75</v>
      </c>
      <c r="E14" s="49">
        <f t="shared" ref="E14:H14" si="2">AVERAGE(E5:E12)</f>
        <v>69.75</v>
      </c>
      <c r="F14" s="49">
        <f t="shared" si="2"/>
        <v>80.125</v>
      </c>
      <c r="G14" s="49">
        <f t="shared" si="2"/>
        <v>61</v>
      </c>
      <c r="H14" s="49">
        <f t="shared" si="2"/>
        <v>83.5</v>
      </c>
      <c r="I14" s="50"/>
    </row>
    <row r="20" spans="2:13" ht="99" x14ac:dyDescent="0.3">
      <c r="B20" s="51" t="s">
        <v>113</v>
      </c>
    </row>
    <row r="22" spans="2:13" ht="28.5" customHeight="1" x14ac:dyDescent="0.3">
      <c r="B22" s="52" t="s">
        <v>113</v>
      </c>
    </row>
    <row r="24" spans="2:13" ht="41.25" x14ac:dyDescent="0.3">
      <c r="C24" s="53" t="s">
        <v>114</v>
      </c>
      <c r="D24" s="54" t="s">
        <v>115</v>
      </c>
      <c r="E24" s="55" t="s">
        <v>116</v>
      </c>
      <c r="F24" s="56" t="s">
        <v>117</v>
      </c>
      <c r="G24" t="s">
        <v>118</v>
      </c>
    </row>
    <row r="29" spans="2:13" x14ac:dyDescent="0.3">
      <c r="C29" s="60" t="s">
        <v>124</v>
      </c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2:13" ht="99" x14ac:dyDescent="0.3">
      <c r="C30" s="60"/>
      <c r="D30" s="61" t="s">
        <v>127</v>
      </c>
      <c r="E30" s="62" t="s">
        <v>129</v>
      </c>
      <c r="F30" s="63" t="s">
        <v>128</v>
      </c>
      <c r="G30" s="63"/>
      <c r="H30" s="63"/>
      <c r="I30" s="63"/>
      <c r="J30" s="60"/>
      <c r="K30" s="60"/>
      <c r="L30" s="60"/>
      <c r="M30" s="60"/>
    </row>
    <row r="31" spans="2:13" x14ac:dyDescent="0.3">
      <c r="C31" s="60" t="s">
        <v>125</v>
      </c>
      <c r="D31" s="64" t="s">
        <v>125</v>
      </c>
      <c r="E31" s="65" t="s">
        <v>125</v>
      </c>
      <c r="F31" s="66" t="s">
        <v>125</v>
      </c>
      <c r="G31" s="60"/>
      <c r="H31" s="60"/>
      <c r="I31" s="60"/>
      <c r="J31" s="60"/>
      <c r="K31" s="60"/>
      <c r="L31" s="60"/>
      <c r="M31" s="60"/>
    </row>
    <row r="32" spans="2:13" x14ac:dyDescent="0.3">
      <c r="C32" s="60" t="s">
        <v>126</v>
      </c>
      <c r="D32" s="64" t="s">
        <v>126</v>
      </c>
      <c r="E32" s="65" t="s">
        <v>126</v>
      </c>
      <c r="F32" s="66" t="s">
        <v>126</v>
      </c>
      <c r="G32" s="60"/>
      <c r="H32" s="60"/>
      <c r="I32" s="60"/>
      <c r="J32" s="60"/>
      <c r="K32" s="60"/>
      <c r="L32" s="60"/>
      <c r="M32" s="60"/>
    </row>
    <row r="33" spans="3:13" x14ac:dyDescent="0.3">
      <c r="C33" s="60">
        <v>123456.1122</v>
      </c>
      <c r="D33" s="64">
        <v>123456.1122</v>
      </c>
      <c r="E33" s="65">
        <v>123456.1122</v>
      </c>
      <c r="F33" s="66">
        <v>123456.1122</v>
      </c>
      <c r="G33" s="60"/>
      <c r="H33" s="60"/>
      <c r="I33" s="60"/>
      <c r="J33" s="60"/>
      <c r="K33" s="60"/>
      <c r="L33" s="60"/>
      <c r="M33" s="60"/>
    </row>
    <row r="34" spans="3:13" x14ac:dyDescent="0.3">
      <c r="C34" s="60">
        <v>123456.7788</v>
      </c>
      <c r="D34" s="64">
        <v>123456.7788</v>
      </c>
      <c r="E34" s="65">
        <v>123456.7788</v>
      </c>
      <c r="F34" s="66">
        <v>123456.7788</v>
      </c>
      <c r="G34" s="60"/>
      <c r="H34" s="60"/>
      <c r="I34" s="60"/>
      <c r="J34" s="60"/>
      <c r="K34" s="60"/>
      <c r="L34" s="60"/>
      <c r="M34" s="60"/>
    </row>
    <row r="35" spans="3:13" x14ac:dyDescent="0.3">
      <c r="C35" s="60">
        <v>-123456.1122</v>
      </c>
      <c r="D35" s="64">
        <v>-123456.1122</v>
      </c>
      <c r="E35" s="65">
        <v>-123456.1122</v>
      </c>
      <c r="F35" s="66">
        <v>-123456.1122</v>
      </c>
      <c r="G35" s="60"/>
      <c r="H35" s="60"/>
      <c r="I35" s="60"/>
      <c r="J35" s="60"/>
      <c r="K35" s="60"/>
      <c r="L35" s="60"/>
      <c r="M35" s="60"/>
    </row>
    <row r="36" spans="3:13" x14ac:dyDescent="0.3">
      <c r="C36" s="60">
        <v>-123456.7788</v>
      </c>
      <c r="D36" s="64">
        <v>-123456.7788</v>
      </c>
      <c r="E36" s="65">
        <v>-123456.7788</v>
      </c>
      <c r="F36" s="66">
        <v>-123456.7788</v>
      </c>
      <c r="G36" s="60"/>
      <c r="H36" s="60"/>
      <c r="I36" s="60"/>
      <c r="J36" s="60"/>
      <c r="K36" s="60"/>
      <c r="L36" s="60"/>
      <c r="M36" s="60"/>
    </row>
    <row r="37" spans="3:13" x14ac:dyDescent="0.3">
      <c r="C37" s="60">
        <v>0.1234</v>
      </c>
      <c r="D37" s="64">
        <v>0.1234</v>
      </c>
      <c r="E37" s="65">
        <v>0.1234</v>
      </c>
      <c r="F37" s="66">
        <v>0.1234</v>
      </c>
      <c r="G37" s="60"/>
      <c r="H37" s="60"/>
      <c r="I37" s="60"/>
      <c r="J37" s="60"/>
      <c r="K37" s="60"/>
      <c r="L37" s="60"/>
      <c r="M37" s="60"/>
    </row>
    <row r="38" spans="3:13" x14ac:dyDescent="0.3">
      <c r="C38" s="60">
        <v>0.56779999999999997</v>
      </c>
      <c r="D38" s="64">
        <v>0.56779999999999997</v>
      </c>
      <c r="E38" s="65">
        <v>0.56779999999999997</v>
      </c>
      <c r="F38" s="66">
        <v>0.56779999999999997</v>
      </c>
      <c r="G38" s="60"/>
      <c r="H38" s="60"/>
      <c r="I38" s="60"/>
      <c r="J38" s="60"/>
      <c r="K38" s="60"/>
      <c r="L38" s="60"/>
      <c r="M38" s="60"/>
    </row>
    <row r="39" spans="3:13" x14ac:dyDescent="0.3">
      <c r="C39" s="60">
        <v>-0.1234</v>
      </c>
      <c r="D39" s="64">
        <v>-0.1234</v>
      </c>
      <c r="E39" s="65">
        <v>-0.1234</v>
      </c>
      <c r="F39" s="66">
        <v>-0.1234</v>
      </c>
      <c r="G39" s="60"/>
      <c r="H39" s="60"/>
      <c r="I39" s="60"/>
      <c r="J39" s="60"/>
      <c r="K39" s="60"/>
      <c r="L39" s="60"/>
      <c r="M39" s="60"/>
    </row>
    <row r="40" spans="3:13" x14ac:dyDescent="0.3">
      <c r="C40" s="60">
        <v>-0.56779999999999997</v>
      </c>
      <c r="D40" s="64">
        <v>-0.56779999999999997</v>
      </c>
      <c r="E40" s="65">
        <v>-0.56779999999999997</v>
      </c>
      <c r="F40" s="66">
        <v>-0.56779999999999997</v>
      </c>
      <c r="G40" s="60"/>
      <c r="H40" s="60"/>
      <c r="I40" s="60"/>
      <c r="J40" s="60"/>
      <c r="K40" s="60"/>
      <c r="L40" s="60"/>
      <c r="M40" s="60"/>
    </row>
    <row r="41" spans="3:13" x14ac:dyDescent="0.3">
      <c r="C41" s="60">
        <v>0</v>
      </c>
      <c r="D41" s="64">
        <v>0</v>
      </c>
      <c r="E41" s="65">
        <v>0</v>
      </c>
      <c r="F41" s="66">
        <v>0</v>
      </c>
      <c r="G41" s="60"/>
      <c r="H41" s="60"/>
      <c r="I41" s="60"/>
      <c r="J41" s="60"/>
      <c r="K41" s="60"/>
      <c r="L41" s="60"/>
      <c r="M41" s="60"/>
    </row>
    <row r="42" spans="3:13" x14ac:dyDescent="0.3">
      <c r="C42" s="60">
        <v>1</v>
      </c>
      <c r="D42" s="64">
        <v>1</v>
      </c>
      <c r="E42" s="65">
        <v>1</v>
      </c>
      <c r="F42" s="66">
        <v>1</v>
      </c>
      <c r="G42" s="60"/>
      <c r="H42" s="60"/>
      <c r="I42" s="60"/>
      <c r="J42" s="60"/>
      <c r="K42" s="60"/>
      <c r="L42" s="60"/>
      <c r="M42" s="60"/>
    </row>
    <row r="43" spans="3:13" x14ac:dyDescent="0.3">
      <c r="C43" s="67">
        <v>1</v>
      </c>
      <c r="D43" s="64">
        <v>1</v>
      </c>
      <c r="E43" s="65">
        <v>1</v>
      </c>
      <c r="F43" s="66">
        <v>1</v>
      </c>
      <c r="G43" s="60"/>
      <c r="H43" s="60"/>
      <c r="I43" s="60"/>
      <c r="J43" s="60"/>
      <c r="K43" s="60"/>
      <c r="L43" s="60"/>
      <c r="M43" s="60"/>
    </row>
    <row r="44" spans="3:13" x14ac:dyDescent="0.3">
      <c r="C44" s="68">
        <v>1.25</v>
      </c>
      <c r="D44" s="64">
        <v>1.25</v>
      </c>
      <c r="E44" s="65">
        <v>1.25</v>
      </c>
      <c r="F44" s="66">
        <v>1.25</v>
      </c>
      <c r="G44" s="60"/>
      <c r="H44" s="60"/>
      <c r="I44" s="60"/>
      <c r="J44" s="60"/>
      <c r="K44" s="60"/>
      <c r="L44" s="60"/>
      <c r="M44" s="60"/>
    </row>
    <row r="45" spans="3:13" x14ac:dyDescent="0.3">
      <c r="C45" s="67">
        <v>46323</v>
      </c>
      <c r="D45" s="64">
        <v>46323</v>
      </c>
      <c r="E45" s="65">
        <v>46323</v>
      </c>
      <c r="F45" s="66">
        <v>46323</v>
      </c>
      <c r="G45" s="60"/>
      <c r="H45" s="60"/>
      <c r="I45" s="60"/>
      <c r="J45" s="60"/>
      <c r="K45" s="60"/>
      <c r="L45" s="60"/>
      <c r="M45" s="60"/>
    </row>
    <row r="46" spans="3:13" x14ac:dyDescent="0.3">
      <c r="C46" s="68">
        <v>46323.612500000003</v>
      </c>
      <c r="D46" s="64">
        <v>46323.612500000003</v>
      </c>
      <c r="E46" s="65">
        <v>46323.612500000003</v>
      </c>
      <c r="F46" s="66">
        <v>46323.612500000003</v>
      </c>
      <c r="G46" s="60"/>
      <c r="H46" s="60"/>
      <c r="I46" s="60"/>
      <c r="J46" s="60"/>
      <c r="K46" s="60"/>
      <c r="L46" s="60"/>
      <c r="M46" s="60"/>
    </row>
    <row r="47" spans="3:13" x14ac:dyDescent="0.3"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3:13" ht="115.5" x14ac:dyDescent="0.3">
      <c r="C48" s="60"/>
      <c r="D48" s="63" t="s">
        <v>131</v>
      </c>
      <c r="E48" s="63" t="s">
        <v>130</v>
      </c>
      <c r="F48" s="63" t="s">
        <v>132</v>
      </c>
      <c r="G48" s="63" t="s">
        <v>133</v>
      </c>
      <c r="H48" s="63" t="s">
        <v>134</v>
      </c>
      <c r="I48" s="63" t="s">
        <v>135</v>
      </c>
      <c r="J48" s="63" t="s">
        <v>136</v>
      </c>
      <c r="K48" s="63" t="s">
        <v>138</v>
      </c>
      <c r="L48" s="63" t="s">
        <v>137</v>
      </c>
      <c r="M48" s="63" t="s">
        <v>139</v>
      </c>
    </row>
    <row r="49" spans="3:14" x14ac:dyDescent="0.3">
      <c r="C49" s="60"/>
      <c r="D49" s="69" t="s">
        <v>125</v>
      </c>
      <c r="E49" s="70" t="s">
        <v>125</v>
      </c>
      <c r="F49" s="71" t="s">
        <v>125</v>
      </c>
      <c r="G49" s="72" t="s">
        <v>125</v>
      </c>
      <c r="H49" s="73" t="s">
        <v>125</v>
      </c>
      <c r="I49" s="74" t="s">
        <v>125</v>
      </c>
      <c r="J49" s="75" t="s">
        <v>125</v>
      </c>
      <c r="K49" s="76" t="s">
        <v>125</v>
      </c>
      <c r="L49" s="77" t="s">
        <v>125</v>
      </c>
      <c r="M49" s="78" t="s">
        <v>125</v>
      </c>
    </row>
    <row r="50" spans="3:14" x14ac:dyDescent="0.3">
      <c r="C50" s="60"/>
      <c r="D50" s="69" t="s">
        <v>126</v>
      </c>
      <c r="E50" s="70" t="s">
        <v>126</v>
      </c>
      <c r="F50" s="71" t="s">
        <v>126</v>
      </c>
      <c r="G50" s="72" t="s">
        <v>126</v>
      </c>
      <c r="H50" s="73" t="s">
        <v>126</v>
      </c>
      <c r="I50" s="74" t="s">
        <v>126</v>
      </c>
      <c r="J50" s="75" t="s">
        <v>126</v>
      </c>
      <c r="K50" s="76" t="s">
        <v>126</v>
      </c>
      <c r="L50" s="77" t="s">
        <v>126</v>
      </c>
      <c r="M50" s="78" t="s">
        <v>126</v>
      </c>
    </row>
    <row r="51" spans="3:14" x14ac:dyDescent="0.3">
      <c r="C51" s="60"/>
      <c r="D51" s="69">
        <v>123456.1122</v>
      </c>
      <c r="E51" s="70">
        <v>123456.1122</v>
      </c>
      <c r="F51" s="71">
        <v>123456.1122</v>
      </c>
      <c r="G51" s="72">
        <v>8899123456.1121998</v>
      </c>
      <c r="H51" s="73">
        <v>123456.1122</v>
      </c>
      <c r="I51" s="74">
        <v>123456.1122</v>
      </c>
      <c r="J51" s="75">
        <v>123456.1122</v>
      </c>
      <c r="K51" s="76">
        <v>123456.1122</v>
      </c>
      <c r="L51" s="77">
        <v>123456.1122</v>
      </c>
      <c r="M51" s="78">
        <v>123456.1122</v>
      </c>
    </row>
    <row r="52" spans="3:14" x14ac:dyDescent="0.3">
      <c r="C52" s="60"/>
      <c r="D52" s="69">
        <v>123456.7788</v>
      </c>
      <c r="E52" s="70">
        <v>123456.7788</v>
      </c>
      <c r="F52" s="71">
        <v>123456.7788</v>
      </c>
      <c r="G52" s="72">
        <v>123456.7788</v>
      </c>
      <c r="H52" s="73">
        <v>123456.7788</v>
      </c>
      <c r="I52" s="74">
        <v>123456.7788</v>
      </c>
      <c r="J52" s="75">
        <v>123456.7788</v>
      </c>
      <c r="K52" s="76">
        <v>123456.7788</v>
      </c>
      <c r="L52" s="77">
        <v>123456.7788</v>
      </c>
      <c r="M52" s="78">
        <v>123456.7788</v>
      </c>
    </row>
    <row r="53" spans="3:14" x14ac:dyDescent="0.3">
      <c r="C53" s="60"/>
      <c r="D53" s="69">
        <v>-123456.1122</v>
      </c>
      <c r="E53" s="70">
        <v>-123456.1122</v>
      </c>
      <c r="F53" s="71">
        <v>-123456.1122</v>
      </c>
      <c r="G53" s="72">
        <v>-123456.1122</v>
      </c>
      <c r="H53" s="73">
        <v>-123456.1122</v>
      </c>
      <c r="I53" s="74">
        <v>-123456.1122</v>
      </c>
      <c r="J53" s="75">
        <v>-123456.1122</v>
      </c>
      <c r="K53" s="76">
        <v>-123456.1122</v>
      </c>
      <c r="L53" s="77">
        <v>-123456.1122</v>
      </c>
      <c r="M53" s="78">
        <v>-123456.1122</v>
      </c>
    </row>
    <row r="54" spans="3:14" x14ac:dyDescent="0.3">
      <c r="C54" s="60"/>
      <c r="D54" s="69">
        <v>-123456.7788</v>
      </c>
      <c r="E54" s="70">
        <v>-123456.7788</v>
      </c>
      <c r="F54" s="71">
        <v>-123456.7788</v>
      </c>
      <c r="G54" s="72">
        <v>-123456.7788</v>
      </c>
      <c r="H54" s="73">
        <v>-123456.7788</v>
      </c>
      <c r="I54" s="74">
        <v>-123456.7788</v>
      </c>
      <c r="J54" s="75">
        <v>-123456.7788</v>
      </c>
      <c r="K54" s="76">
        <v>-123456.7788</v>
      </c>
      <c r="L54" s="77">
        <v>-123456.7788</v>
      </c>
      <c r="M54" s="78">
        <v>-123456.7788</v>
      </c>
    </row>
    <row r="55" spans="3:14" x14ac:dyDescent="0.3">
      <c r="C55" s="60"/>
      <c r="D55" s="69">
        <v>0.1234</v>
      </c>
      <c r="E55" s="70">
        <v>0.1234</v>
      </c>
      <c r="F55" s="71">
        <v>0.1234</v>
      </c>
      <c r="G55" s="72">
        <v>0.1234</v>
      </c>
      <c r="H55" s="73">
        <v>0.1234</v>
      </c>
      <c r="I55" s="74">
        <v>0.1234</v>
      </c>
      <c r="J55" s="75">
        <v>0.1234</v>
      </c>
      <c r="K55" s="76">
        <v>0.1234</v>
      </c>
      <c r="L55" s="77">
        <v>0.1234</v>
      </c>
      <c r="M55" s="78">
        <v>0.1234</v>
      </c>
    </row>
    <row r="56" spans="3:14" x14ac:dyDescent="0.3">
      <c r="C56" s="60"/>
      <c r="D56" s="69">
        <v>0.56779999999999997</v>
      </c>
      <c r="E56" s="70">
        <v>0.56779999999999997</v>
      </c>
      <c r="F56" s="71">
        <v>0.56779999999999997</v>
      </c>
      <c r="G56" s="72">
        <v>0.56779999999999997</v>
      </c>
      <c r="H56" s="73">
        <v>0.56779999999999997</v>
      </c>
      <c r="I56" s="74">
        <v>0.56779999999999997</v>
      </c>
      <c r="J56" s="75">
        <v>0.56779999999999997</v>
      </c>
      <c r="K56" s="76">
        <v>0.56779999999999997</v>
      </c>
      <c r="L56" s="77">
        <v>0.56779999999999997</v>
      </c>
      <c r="M56" s="78">
        <v>0.56779999999999997</v>
      </c>
    </row>
    <row r="57" spans="3:14" x14ac:dyDescent="0.3">
      <c r="C57" s="60"/>
      <c r="D57" s="69">
        <v>-0.1234</v>
      </c>
      <c r="E57" s="70">
        <v>-0.1234</v>
      </c>
      <c r="F57" s="71">
        <v>-0.1234</v>
      </c>
      <c r="G57" s="72">
        <v>-0.1234</v>
      </c>
      <c r="H57" s="73">
        <v>-0.1234</v>
      </c>
      <c r="I57" s="74">
        <v>-0.1234</v>
      </c>
      <c r="J57" s="75">
        <v>-0.1234</v>
      </c>
      <c r="K57" s="76">
        <v>-0.1234</v>
      </c>
      <c r="L57" s="77">
        <v>-0.1234</v>
      </c>
      <c r="M57" s="78">
        <v>-0.1234</v>
      </c>
    </row>
    <row r="58" spans="3:14" x14ac:dyDescent="0.3">
      <c r="C58" s="60"/>
      <c r="D58" s="69">
        <v>-0.56779999999999997</v>
      </c>
      <c r="E58" s="70">
        <v>-0.56779999999999997</v>
      </c>
      <c r="F58" s="71">
        <v>-0.56779999999999997</v>
      </c>
      <c r="G58" s="72">
        <v>-0.56779999999999997</v>
      </c>
      <c r="H58" s="73">
        <v>-0.56779999999999997</v>
      </c>
      <c r="I58" s="74">
        <v>-0.56779999999999997</v>
      </c>
      <c r="J58" s="75">
        <v>-0.56779999999999997</v>
      </c>
      <c r="K58" s="76">
        <v>-0.56779999999999997</v>
      </c>
      <c r="L58" s="77">
        <v>-0.56779999999999997</v>
      </c>
      <c r="M58" s="78">
        <v>-0.56779999999999997</v>
      </c>
    </row>
    <row r="59" spans="3:14" x14ac:dyDescent="0.3">
      <c r="C59" s="60"/>
      <c r="D59" s="69">
        <v>0</v>
      </c>
      <c r="E59" s="70">
        <v>0</v>
      </c>
      <c r="F59" s="71">
        <v>0</v>
      </c>
      <c r="G59" s="72">
        <v>0</v>
      </c>
      <c r="H59" s="73">
        <v>0</v>
      </c>
      <c r="I59" s="74">
        <v>0</v>
      </c>
      <c r="J59" s="75">
        <v>0</v>
      </c>
      <c r="K59" s="76">
        <v>0</v>
      </c>
      <c r="L59" s="77">
        <v>0</v>
      </c>
      <c r="M59" s="78">
        <v>0</v>
      </c>
    </row>
    <row r="60" spans="3:14" x14ac:dyDescent="0.3">
      <c r="C60" s="60"/>
      <c r="D60" s="69">
        <v>1</v>
      </c>
      <c r="E60" s="70">
        <v>1</v>
      </c>
      <c r="F60" s="71">
        <v>1</v>
      </c>
      <c r="G60" s="72">
        <v>1</v>
      </c>
      <c r="H60" s="73">
        <v>1</v>
      </c>
      <c r="I60" s="74">
        <v>1</v>
      </c>
      <c r="J60" s="75">
        <v>1</v>
      </c>
      <c r="K60" s="76">
        <v>1</v>
      </c>
      <c r="L60" s="77">
        <v>1</v>
      </c>
      <c r="M60" s="78">
        <v>1</v>
      </c>
    </row>
    <row r="61" spans="3:14" x14ac:dyDescent="0.3">
      <c r="C61" s="60"/>
      <c r="D61" s="69">
        <v>1</v>
      </c>
      <c r="E61" s="70">
        <v>1</v>
      </c>
      <c r="F61" s="71">
        <v>1</v>
      </c>
      <c r="G61" s="72">
        <v>1</v>
      </c>
      <c r="H61" s="73">
        <v>1</v>
      </c>
      <c r="I61" s="74">
        <v>1</v>
      </c>
      <c r="J61" s="75">
        <v>1</v>
      </c>
      <c r="K61" s="76">
        <v>1</v>
      </c>
      <c r="L61" s="77">
        <v>1</v>
      </c>
      <c r="M61" s="78">
        <v>1</v>
      </c>
      <c r="N61" s="2"/>
    </row>
    <row r="62" spans="3:14" x14ac:dyDescent="0.3">
      <c r="C62" s="60"/>
      <c r="D62" s="69">
        <v>1.25</v>
      </c>
      <c r="E62" s="70">
        <v>1.25</v>
      </c>
      <c r="F62" s="71">
        <v>1.25</v>
      </c>
      <c r="G62" s="72">
        <v>1.25</v>
      </c>
      <c r="H62" s="73">
        <v>1.25</v>
      </c>
      <c r="I62" s="74">
        <v>1.25</v>
      </c>
      <c r="J62" s="75">
        <v>1.25</v>
      </c>
      <c r="K62" s="76">
        <v>1.25</v>
      </c>
      <c r="L62" s="77">
        <v>1.25</v>
      </c>
      <c r="M62" s="78">
        <v>1.25</v>
      </c>
      <c r="N62" s="59"/>
    </row>
    <row r="63" spans="3:14" x14ac:dyDescent="0.3">
      <c r="C63" s="60"/>
      <c r="D63" s="69">
        <v>46323</v>
      </c>
      <c r="E63" s="70">
        <v>46323</v>
      </c>
      <c r="F63" s="71">
        <v>46323</v>
      </c>
      <c r="G63" s="72">
        <v>46323</v>
      </c>
      <c r="H63" s="73">
        <v>46323</v>
      </c>
      <c r="I63" s="74">
        <v>46323</v>
      </c>
      <c r="J63" s="75">
        <v>46323</v>
      </c>
      <c r="K63" s="76">
        <v>46323</v>
      </c>
      <c r="L63" s="77">
        <v>46323</v>
      </c>
      <c r="M63" s="78">
        <v>46323</v>
      </c>
      <c r="N63" s="2"/>
    </row>
    <row r="64" spans="3:14" x14ac:dyDescent="0.3">
      <c r="C64" s="60"/>
      <c r="D64" s="69">
        <v>46323.612500000003</v>
      </c>
      <c r="E64" s="70">
        <v>46323.612500000003</v>
      </c>
      <c r="F64" s="71">
        <v>46323.612500000003</v>
      </c>
      <c r="G64" s="72">
        <v>46323.612500000003</v>
      </c>
      <c r="H64" s="73">
        <v>46323.612500000003</v>
      </c>
      <c r="I64" s="74">
        <v>46323.612500000003</v>
      </c>
      <c r="J64" s="75">
        <v>46323.612500000003</v>
      </c>
      <c r="K64" s="76">
        <v>46323.612500000003</v>
      </c>
      <c r="L64" s="77">
        <v>46323.612500000003</v>
      </c>
      <c r="M64" s="78">
        <v>46323.612500000003</v>
      </c>
      <c r="N64" s="59"/>
    </row>
    <row r="65" spans="3:13" x14ac:dyDescent="0.3">
      <c r="C65" s="60"/>
      <c r="D65" s="60"/>
      <c r="E65" s="60"/>
      <c r="F65" s="60"/>
      <c r="G65" s="60"/>
      <c r="H65" s="60"/>
      <c r="I65" s="60"/>
      <c r="J65" s="60"/>
      <c r="K65" s="76">
        <v>0</v>
      </c>
      <c r="L65" s="77">
        <v>0</v>
      </c>
      <c r="M65" s="78">
        <v>0</v>
      </c>
    </row>
    <row r="66" spans="3:13" x14ac:dyDescent="0.3"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</row>
    <row r="67" spans="3:13" x14ac:dyDescent="0.3">
      <c r="C67" s="60"/>
      <c r="D67" s="60"/>
      <c r="E67" s="60"/>
      <c r="F67" s="60"/>
      <c r="G67" s="60"/>
      <c r="H67" s="60"/>
      <c r="I67" s="60"/>
      <c r="J67" s="60"/>
      <c r="K67" s="60"/>
      <c r="L67" s="60"/>
      <c r="M67" s="60"/>
    </row>
    <row r="68" spans="3:13" ht="99" x14ac:dyDescent="0.3">
      <c r="C68" s="60"/>
      <c r="D68" s="63" t="s">
        <v>140</v>
      </c>
      <c r="E68" s="63" t="s">
        <v>141</v>
      </c>
      <c r="F68" s="63" t="s">
        <v>143</v>
      </c>
      <c r="G68" s="60"/>
      <c r="H68" s="60"/>
      <c r="I68" s="60"/>
      <c r="J68" s="60"/>
      <c r="K68" s="60"/>
      <c r="L68" s="60"/>
      <c r="M68" s="60"/>
    </row>
    <row r="69" spans="3:13" x14ac:dyDescent="0.3">
      <c r="C69" s="60"/>
      <c r="D69" s="79" t="s">
        <v>125</v>
      </c>
      <c r="E69" s="80" t="s">
        <v>125</v>
      </c>
      <c r="F69" s="81" t="s">
        <v>125</v>
      </c>
      <c r="G69" s="69" t="s">
        <v>125</v>
      </c>
      <c r="H69" s="60"/>
      <c r="I69" s="60"/>
      <c r="J69" s="60"/>
      <c r="K69" s="60"/>
      <c r="L69" s="60"/>
      <c r="M69" s="60"/>
    </row>
    <row r="70" spans="3:13" x14ac:dyDescent="0.3">
      <c r="C70" s="60"/>
      <c r="D70" s="79" t="s">
        <v>126</v>
      </c>
      <c r="E70" s="80" t="s">
        <v>126</v>
      </c>
      <c r="F70" s="81" t="s">
        <v>126</v>
      </c>
      <c r="G70" s="69" t="s">
        <v>126</v>
      </c>
      <c r="H70" s="60"/>
      <c r="I70" s="60"/>
      <c r="J70" s="60"/>
      <c r="K70" s="60"/>
      <c r="L70" s="60"/>
      <c r="M70" s="60"/>
    </row>
    <row r="71" spans="3:13" x14ac:dyDescent="0.3">
      <c r="C71" s="60"/>
      <c r="D71" s="79">
        <v>123456.1122</v>
      </c>
      <c r="E71" s="80">
        <v>123456.1122</v>
      </c>
      <c r="F71" s="81">
        <v>123456.1122</v>
      </c>
      <c r="G71" s="69">
        <v>123456.1122</v>
      </c>
      <c r="H71" s="60"/>
      <c r="I71" s="60"/>
      <c r="J71" s="60"/>
      <c r="K71" s="60"/>
      <c r="L71" s="60"/>
      <c r="M71" s="60"/>
    </row>
    <row r="72" spans="3:13" x14ac:dyDescent="0.3">
      <c r="C72" s="60"/>
      <c r="D72" s="79">
        <v>123456.7788</v>
      </c>
      <c r="E72" s="80">
        <v>123456.7788</v>
      </c>
      <c r="F72" s="81">
        <v>123456.7788</v>
      </c>
      <c r="G72" s="69">
        <v>123456.7788</v>
      </c>
      <c r="H72" s="60"/>
      <c r="I72" s="60"/>
      <c r="J72" s="60"/>
      <c r="K72" s="60"/>
      <c r="L72" s="60"/>
      <c r="M72" s="60"/>
    </row>
    <row r="73" spans="3:13" x14ac:dyDescent="0.3">
      <c r="C73" s="60"/>
      <c r="D73" s="79">
        <v>-123456.1122</v>
      </c>
      <c r="E73" s="80">
        <v>-123456.1122</v>
      </c>
      <c r="F73" s="81">
        <v>-123456.1122</v>
      </c>
      <c r="G73" s="69">
        <v>-123456.1122</v>
      </c>
      <c r="H73" s="60"/>
      <c r="I73" s="60"/>
      <c r="J73" s="60"/>
      <c r="K73" s="60"/>
      <c r="L73" s="60"/>
      <c r="M73" s="60"/>
    </row>
    <row r="74" spans="3:13" x14ac:dyDescent="0.3">
      <c r="C74" s="60"/>
      <c r="D74" s="79">
        <v>-123456.7788</v>
      </c>
      <c r="E74" s="80">
        <v>-123456.7788</v>
      </c>
      <c r="F74" s="81">
        <v>-123456.7788</v>
      </c>
      <c r="G74" s="69">
        <v>-123456.7788</v>
      </c>
      <c r="H74" s="60"/>
      <c r="I74" s="60"/>
      <c r="J74" s="60"/>
      <c r="K74" s="60"/>
      <c r="L74" s="60"/>
      <c r="M74" s="60"/>
    </row>
    <row r="75" spans="3:13" x14ac:dyDescent="0.3">
      <c r="C75" s="60"/>
      <c r="D75" s="79">
        <v>0.1234</v>
      </c>
      <c r="E75" s="80">
        <v>0.1234</v>
      </c>
      <c r="F75" s="81" t="s">
        <v>142</v>
      </c>
      <c r="G75" s="69">
        <v>0.1234</v>
      </c>
      <c r="H75" s="60"/>
      <c r="I75" s="60"/>
      <c r="J75" s="60"/>
      <c r="K75" s="60"/>
      <c r="L75" s="60"/>
      <c r="M75" s="60"/>
    </row>
    <row r="76" spans="3:13" x14ac:dyDescent="0.3">
      <c r="C76" s="60"/>
      <c r="D76" s="79">
        <v>0.56779999999999997</v>
      </c>
      <c r="E76" s="80">
        <v>0.56779999999999997</v>
      </c>
      <c r="F76" s="81">
        <v>0.56779999999999997</v>
      </c>
      <c r="G76" s="69">
        <v>0.56779999999999997</v>
      </c>
      <c r="H76" s="60"/>
      <c r="I76" s="60"/>
      <c r="J76" s="60"/>
      <c r="K76" s="60"/>
      <c r="L76" s="60"/>
      <c r="M76" s="60"/>
    </row>
    <row r="77" spans="3:13" x14ac:dyDescent="0.3">
      <c r="C77" s="60"/>
      <c r="D77" s="79">
        <v>-0.1234</v>
      </c>
      <c r="E77" s="80">
        <v>-0.1234</v>
      </c>
      <c r="F77" s="81">
        <v>-0.1234</v>
      </c>
      <c r="G77" s="69">
        <v>-0.1234</v>
      </c>
      <c r="H77" s="60"/>
      <c r="I77" s="60"/>
      <c r="J77" s="60"/>
      <c r="K77" s="60"/>
      <c r="L77" s="60"/>
      <c r="M77" s="60"/>
    </row>
    <row r="78" spans="3:13" x14ac:dyDescent="0.3">
      <c r="C78" s="60"/>
      <c r="D78" s="79">
        <v>-0.56779999999999997</v>
      </c>
      <c r="E78" s="80">
        <v>-0.56779999999999997</v>
      </c>
      <c r="F78" s="81">
        <v>-0.56779999999999997</v>
      </c>
      <c r="G78" s="69">
        <v>-0.56779999999999997</v>
      </c>
      <c r="H78" s="60"/>
      <c r="I78" s="60"/>
      <c r="J78" s="60"/>
      <c r="K78" s="60"/>
      <c r="L78" s="60"/>
      <c r="M78" s="60"/>
    </row>
    <row r="79" spans="3:13" x14ac:dyDescent="0.3">
      <c r="C79" s="60"/>
      <c r="D79" s="79">
        <v>0</v>
      </c>
      <c r="E79" s="80">
        <v>0</v>
      </c>
      <c r="F79" s="81">
        <v>0</v>
      </c>
      <c r="G79" s="69">
        <v>0</v>
      </c>
      <c r="H79" s="60"/>
      <c r="I79" s="60"/>
      <c r="J79" s="60"/>
      <c r="K79" s="60"/>
      <c r="L79" s="60"/>
      <c r="M79" s="60"/>
    </row>
    <row r="80" spans="3:13" x14ac:dyDescent="0.3">
      <c r="C80" s="60"/>
      <c r="D80" s="79">
        <v>1</v>
      </c>
      <c r="E80" s="80">
        <v>1</v>
      </c>
      <c r="F80" s="81">
        <v>1</v>
      </c>
      <c r="G80" s="69">
        <v>1</v>
      </c>
      <c r="H80" s="60"/>
      <c r="I80" s="60"/>
      <c r="J80" s="60"/>
      <c r="K80" s="60"/>
      <c r="L80" s="60"/>
      <c r="M80" s="60"/>
    </row>
    <row r="81" spans="3:13" x14ac:dyDescent="0.3">
      <c r="C81" s="60"/>
      <c r="D81" s="79">
        <v>1</v>
      </c>
      <c r="E81" s="80">
        <v>1</v>
      </c>
      <c r="F81" s="81">
        <v>1</v>
      </c>
      <c r="G81" s="69">
        <v>1</v>
      </c>
      <c r="H81" s="60"/>
      <c r="I81" s="60"/>
      <c r="J81" s="60"/>
      <c r="K81" s="60"/>
      <c r="L81" s="60"/>
      <c r="M81" s="60"/>
    </row>
    <row r="82" spans="3:13" x14ac:dyDescent="0.3">
      <c r="C82" s="60"/>
      <c r="D82" s="79">
        <v>1.25</v>
      </c>
      <c r="E82" s="80">
        <v>1.25</v>
      </c>
      <c r="F82" s="81">
        <v>1.25</v>
      </c>
      <c r="G82" s="69">
        <v>1.25</v>
      </c>
      <c r="H82" s="60"/>
      <c r="I82" s="60"/>
      <c r="J82" s="60"/>
      <c r="K82" s="60"/>
      <c r="L82" s="60"/>
      <c r="M82" s="60"/>
    </row>
    <row r="83" spans="3:13" x14ac:dyDescent="0.3">
      <c r="C83" s="60"/>
      <c r="D83" s="79">
        <v>46323</v>
      </c>
      <c r="E83" s="80">
        <v>46323</v>
      </c>
      <c r="F83" s="81">
        <v>46323</v>
      </c>
      <c r="G83" s="69">
        <v>46323</v>
      </c>
      <c r="H83" s="60"/>
      <c r="I83" s="60"/>
      <c r="J83" s="60"/>
      <c r="K83" s="60"/>
      <c r="L83" s="60"/>
      <c r="M83" s="60"/>
    </row>
    <row r="84" spans="3:13" x14ac:dyDescent="0.3">
      <c r="C84" s="60"/>
      <c r="D84" s="79">
        <v>46323.612500000003</v>
      </c>
      <c r="E84" s="80">
        <v>46323.612500000003</v>
      </c>
      <c r="F84" s="81">
        <v>46323.612500000003</v>
      </c>
      <c r="G84" s="69">
        <v>46323.612500000003</v>
      </c>
      <c r="H84" s="60"/>
      <c r="I84" s="60"/>
      <c r="J84" s="60"/>
      <c r="K84" s="60"/>
      <c r="L84" s="60"/>
      <c r="M84" s="60"/>
    </row>
    <row r="85" spans="3:13" x14ac:dyDescent="0.3">
      <c r="C85" s="60"/>
      <c r="D85" s="60"/>
      <c r="E85" s="60"/>
      <c r="F85" s="60"/>
      <c r="G85" s="60"/>
      <c r="H85" s="60"/>
      <c r="I85" s="60"/>
      <c r="J85" s="60"/>
      <c r="K85" s="60"/>
      <c r="L85" s="60"/>
      <c r="M85" s="60"/>
    </row>
    <row r="86" spans="3:13" x14ac:dyDescent="0.3"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3:13" ht="148.5" x14ac:dyDescent="0.3">
      <c r="C87" s="60"/>
      <c r="D87" s="63" t="s">
        <v>144</v>
      </c>
      <c r="E87" s="60"/>
      <c r="F87" s="60"/>
      <c r="G87" s="60"/>
      <c r="H87" s="60"/>
      <c r="I87" s="60"/>
      <c r="J87" s="60"/>
      <c r="K87" s="60"/>
      <c r="L87" s="60"/>
      <c r="M87" s="60"/>
    </row>
    <row r="88" spans="3:13" x14ac:dyDescent="0.3">
      <c r="C88" s="60"/>
      <c r="D88" s="67" t="s">
        <v>125</v>
      </c>
      <c r="E88" s="68">
        <v>46293.669930555552</v>
      </c>
      <c r="F88" s="82">
        <v>46293.669930555552</v>
      </c>
      <c r="G88" s="60" t="s">
        <v>145</v>
      </c>
      <c r="H88" s="60"/>
      <c r="I88" s="60"/>
      <c r="J88" s="60"/>
      <c r="K88" s="60"/>
      <c r="L88" s="60"/>
      <c r="M88" s="60"/>
    </row>
    <row r="89" spans="3:13" x14ac:dyDescent="0.3">
      <c r="C89" s="60"/>
      <c r="D89" s="67" t="s">
        <v>126</v>
      </c>
      <c r="E89" s="68">
        <v>46293.669930555552</v>
      </c>
      <c r="F89" s="83">
        <v>46293.669930555552</v>
      </c>
      <c r="G89" s="60" t="s">
        <v>146</v>
      </c>
      <c r="H89" s="60"/>
      <c r="I89" s="60"/>
      <c r="J89" s="60"/>
      <c r="K89" s="60"/>
      <c r="L89" s="60"/>
      <c r="M89" s="60"/>
    </row>
    <row r="90" spans="3:13" x14ac:dyDescent="0.3">
      <c r="C90" s="60"/>
      <c r="D90" s="67">
        <v>123456.1122</v>
      </c>
      <c r="E90" s="68">
        <v>46293.669930555552</v>
      </c>
      <c r="F90" s="84">
        <v>46293.669930555552</v>
      </c>
      <c r="G90" s="60" t="s">
        <v>147</v>
      </c>
      <c r="H90" s="60"/>
      <c r="I90" s="60"/>
      <c r="J90" s="60"/>
      <c r="K90" s="60"/>
      <c r="L90" s="60"/>
      <c r="M90" s="60"/>
    </row>
    <row r="91" spans="3:13" x14ac:dyDescent="0.3">
      <c r="C91" s="60"/>
      <c r="D91" s="67">
        <v>123456.7788</v>
      </c>
      <c r="E91" s="68">
        <v>46293.669930555552</v>
      </c>
      <c r="F91" s="85">
        <v>46293.669930555552</v>
      </c>
      <c r="G91" s="60" t="s">
        <v>148</v>
      </c>
      <c r="H91" s="60"/>
      <c r="I91" s="60"/>
      <c r="J91" s="60"/>
      <c r="K91" s="60"/>
      <c r="L91" s="60"/>
      <c r="M91" s="60"/>
    </row>
    <row r="92" spans="3:13" x14ac:dyDescent="0.3">
      <c r="C92" s="60"/>
      <c r="D92" s="67">
        <v>-123456.1122</v>
      </c>
      <c r="E92" s="68">
        <v>46293.669930555552</v>
      </c>
      <c r="F92" s="86">
        <v>46293.669930555552</v>
      </c>
      <c r="G92" s="60" t="s">
        <v>149</v>
      </c>
      <c r="H92" s="60"/>
      <c r="I92" s="60"/>
      <c r="J92" s="60"/>
      <c r="K92" s="60"/>
      <c r="L92" s="60"/>
      <c r="M92" s="60"/>
    </row>
    <row r="93" spans="3:13" x14ac:dyDescent="0.3">
      <c r="C93" s="60"/>
      <c r="D93" s="67">
        <v>-123456.7788</v>
      </c>
      <c r="E93" s="68">
        <v>46293.669930555552</v>
      </c>
      <c r="F93" s="87">
        <v>46293.669930555552</v>
      </c>
      <c r="G93" s="60" t="s">
        <v>150</v>
      </c>
      <c r="H93" s="60"/>
      <c r="I93" s="60"/>
      <c r="J93" s="60"/>
      <c r="K93" s="60"/>
      <c r="L93" s="60"/>
      <c r="M93" s="60"/>
    </row>
    <row r="94" spans="3:13" x14ac:dyDescent="0.3">
      <c r="C94" s="60"/>
      <c r="D94" s="67">
        <v>0.1234</v>
      </c>
      <c r="E94" s="68">
        <v>46293.669930555552</v>
      </c>
      <c r="F94" s="88">
        <v>46293.669930555552</v>
      </c>
      <c r="G94" s="60" t="s">
        <v>151</v>
      </c>
      <c r="H94" s="60"/>
      <c r="I94" s="60"/>
      <c r="J94" s="60"/>
      <c r="K94" s="60"/>
      <c r="L94" s="60"/>
      <c r="M94" s="60"/>
    </row>
    <row r="95" spans="3:13" x14ac:dyDescent="0.3">
      <c r="C95" s="60"/>
      <c r="D95" s="67">
        <v>0.56779999999999997</v>
      </c>
      <c r="E95" s="68">
        <v>46293.669930555552</v>
      </c>
      <c r="F95" s="89">
        <v>46293.669930555552</v>
      </c>
      <c r="G95" s="60" t="s">
        <v>152</v>
      </c>
      <c r="H95" s="60"/>
      <c r="I95" s="60"/>
      <c r="J95" s="60"/>
      <c r="K95" s="60"/>
      <c r="L95" s="60"/>
      <c r="M95" s="60"/>
    </row>
    <row r="96" spans="3:13" x14ac:dyDescent="0.3">
      <c r="C96" s="60"/>
      <c r="D96" s="67">
        <v>-0.1234</v>
      </c>
      <c r="E96" s="68">
        <v>46293.669930555552</v>
      </c>
      <c r="F96" s="90">
        <v>46293.669930555552</v>
      </c>
      <c r="G96" s="60" t="s">
        <v>153</v>
      </c>
      <c r="H96" s="60"/>
      <c r="I96" s="60"/>
      <c r="J96" s="60"/>
      <c r="K96" s="60"/>
      <c r="L96" s="60"/>
      <c r="M96" s="60"/>
    </row>
    <row r="97" spans="3:13" x14ac:dyDescent="0.3">
      <c r="C97" s="60"/>
      <c r="D97" s="67">
        <v>-0.56779999999999997</v>
      </c>
      <c r="E97" s="68">
        <v>46293.669930555552</v>
      </c>
      <c r="F97" s="91">
        <v>46293.669930555552</v>
      </c>
      <c r="G97" s="60" t="s">
        <v>154</v>
      </c>
      <c r="H97" s="60"/>
      <c r="I97" s="60"/>
      <c r="J97" s="60"/>
      <c r="K97" s="60"/>
      <c r="L97" s="60"/>
      <c r="M97" s="60"/>
    </row>
    <row r="98" spans="3:13" x14ac:dyDescent="0.3">
      <c r="C98" s="60"/>
      <c r="D98" s="67">
        <v>0</v>
      </c>
      <c r="E98" s="68">
        <v>46293.669930555552</v>
      </c>
      <c r="F98" s="92">
        <v>46293.669930555552</v>
      </c>
      <c r="G98" s="60" t="s">
        <v>155</v>
      </c>
      <c r="H98" s="60"/>
      <c r="I98" s="60"/>
      <c r="J98" s="60"/>
      <c r="K98" s="60"/>
      <c r="L98" s="60"/>
      <c r="M98" s="60"/>
    </row>
    <row r="99" spans="3:13" x14ac:dyDescent="0.3">
      <c r="C99" s="60"/>
      <c r="D99" s="67">
        <v>1</v>
      </c>
      <c r="E99" s="68">
        <v>46293.669930555552</v>
      </c>
      <c r="F99" s="93">
        <v>46293.669930555552</v>
      </c>
      <c r="G99" s="60" t="s">
        <v>156</v>
      </c>
      <c r="H99" s="60"/>
      <c r="I99" s="60"/>
      <c r="J99" s="60"/>
      <c r="K99" s="60"/>
      <c r="L99" s="60"/>
      <c r="M99" s="60"/>
    </row>
    <row r="100" spans="3:13" x14ac:dyDescent="0.3">
      <c r="C100" s="60"/>
      <c r="D100" s="67">
        <v>1</v>
      </c>
      <c r="E100" s="68">
        <v>46293.669930555552</v>
      </c>
      <c r="F100" s="94">
        <v>46293.669930555552</v>
      </c>
      <c r="G100" s="60" t="s">
        <v>157</v>
      </c>
      <c r="H100" s="60"/>
      <c r="I100" s="60"/>
      <c r="J100" s="60"/>
      <c r="K100" s="60"/>
      <c r="L100" s="60"/>
      <c r="M100" s="60"/>
    </row>
    <row r="101" spans="3:13" x14ac:dyDescent="0.3">
      <c r="C101" s="60"/>
      <c r="D101" s="67">
        <v>1.25</v>
      </c>
      <c r="E101" s="68">
        <v>46293.169930555552</v>
      </c>
      <c r="F101" s="94">
        <v>46293.169930555552</v>
      </c>
      <c r="G101" s="60"/>
      <c r="H101" s="60"/>
      <c r="I101" s="60"/>
      <c r="J101" s="60"/>
      <c r="K101" s="60"/>
      <c r="L101" s="60"/>
      <c r="M101" s="60"/>
    </row>
    <row r="102" spans="3:13" x14ac:dyDescent="0.3">
      <c r="C102" s="60"/>
      <c r="D102" s="67">
        <v>46323</v>
      </c>
      <c r="E102" s="68">
        <v>46293.669930555552</v>
      </c>
      <c r="F102" s="95">
        <v>46293.669930555552</v>
      </c>
      <c r="G102" s="60" t="s">
        <v>158</v>
      </c>
      <c r="H102" s="60"/>
      <c r="I102" s="60"/>
      <c r="J102" s="60"/>
      <c r="K102" s="60"/>
      <c r="L102" s="60"/>
      <c r="M102" s="60"/>
    </row>
    <row r="103" spans="3:13" x14ac:dyDescent="0.3">
      <c r="C103" s="60"/>
      <c r="D103" s="67">
        <v>46323.612500000003</v>
      </c>
      <c r="E103" s="68">
        <v>46293.169930555552</v>
      </c>
      <c r="F103" s="95">
        <v>46293.169930555552</v>
      </c>
      <c r="G103" s="60"/>
      <c r="H103" s="60"/>
      <c r="I103" s="60"/>
      <c r="J103" s="60"/>
      <c r="K103" s="60"/>
      <c r="L103" s="60"/>
      <c r="M103" s="60"/>
    </row>
    <row r="104" spans="3:13" x14ac:dyDescent="0.3">
      <c r="C104" s="60"/>
      <c r="D104" s="67">
        <v>0</v>
      </c>
      <c r="E104" s="68">
        <v>46293.669930555552</v>
      </c>
      <c r="F104" s="96">
        <v>46293.669930555552</v>
      </c>
      <c r="G104" s="60" t="s">
        <v>159</v>
      </c>
      <c r="H104" s="60"/>
      <c r="I104" s="60"/>
      <c r="J104" s="60"/>
      <c r="K104" s="60"/>
      <c r="L104" s="60"/>
      <c r="M104" s="60"/>
    </row>
    <row r="105" spans="3:13" x14ac:dyDescent="0.3">
      <c r="C105" s="60"/>
      <c r="D105" s="60"/>
      <c r="E105" s="68">
        <v>46293.169930555552</v>
      </c>
      <c r="F105" s="96">
        <v>46293.169930555552</v>
      </c>
      <c r="G105" s="60"/>
      <c r="H105" s="60"/>
      <c r="I105" s="60"/>
      <c r="J105" s="60"/>
      <c r="K105" s="60"/>
      <c r="L105" s="60"/>
      <c r="M105" s="60"/>
    </row>
    <row r="106" spans="3:13" x14ac:dyDescent="0.3">
      <c r="C106" s="60"/>
      <c r="D106" s="60"/>
      <c r="E106" s="68">
        <v>46293.669930555552</v>
      </c>
      <c r="F106" s="97">
        <v>46293.669930555552</v>
      </c>
      <c r="G106" s="60" t="s">
        <v>160</v>
      </c>
      <c r="H106" s="60"/>
      <c r="I106" s="60"/>
      <c r="J106" s="60"/>
      <c r="K106" s="60"/>
      <c r="L106" s="60"/>
      <c r="M106" s="60"/>
    </row>
    <row r="107" spans="3:13" x14ac:dyDescent="0.3">
      <c r="C107" s="60"/>
      <c r="D107" s="60"/>
      <c r="E107" s="68">
        <v>46293.169930555552</v>
      </c>
      <c r="F107" s="97">
        <v>46293.169930555552</v>
      </c>
      <c r="G107" s="60"/>
      <c r="H107" s="60"/>
      <c r="I107" s="60"/>
      <c r="J107" s="60"/>
      <c r="K107" s="60"/>
      <c r="L107" s="60"/>
      <c r="M107" s="60"/>
    </row>
    <row r="108" spans="3:13" x14ac:dyDescent="0.3">
      <c r="C108" s="60"/>
      <c r="D108" s="60"/>
      <c r="E108" s="68">
        <v>46293.669930555552</v>
      </c>
      <c r="F108" s="98">
        <v>46293.669930555552</v>
      </c>
      <c r="G108" s="60" t="s">
        <v>161</v>
      </c>
      <c r="H108" s="60"/>
      <c r="I108" s="60"/>
      <c r="J108" s="60"/>
      <c r="K108" s="60"/>
      <c r="L108" s="60"/>
      <c r="M108" s="60"/>
    </row>
    <row r="109" spans="3:13" x14ac:dyDescent="0.3">
      <c r="C109" s="60"/>
      <c r="D109" s="60"/>
      <c r="E109" s="68">
        <v>46293.669930555552</v>
      </c>
      <c r="F109" s="99">
        <v>46293.669930555552</v>
      </c>
      <c r="G109" s="60" t="s">
        <v>162</v>
      </c>
      <c r="H109" s="60"/>
      <c r="I109" s="60"/>
      <c r="J109" s="60"/>
      <c r="K109" s="60"/>
      <c r="L109" s="60"/>
      <c r="M109" s="60"/>
    </row>
    <row r="110" spans="3:13" x14ac:dyDescent="0.3">
      <c r="C110" s="60"/>
      <c r="D110" s="60"/>
      <c r="E110" s="68">
        <v>46293.169930555552</v>
      </c>
      <c r="F110" s="98">
        <v>46293.169930555552</v>
      </c>
      <c r="G110" s="60" t="s">
        <v>163</v>
      </c>
      <c r="H110" s="60"/>
      <c r="I110" s="60"/>
      <c r="J110" s="60"/>
      <c r="K110" s="60"/>
      <c r="L110" s="60"/>
      <c r="M110" s="60"/>
    </row>
    <row r="111" spans="3:13" x14ac:dyDescent="0.3">
      <c r="C111" s="60"/>
      <c r="D111" s="60"/>
      <c r="E111" s="68">
        <v>46293.169930555552</v>
      </c>
      <c r="F111" s="99">
        <v>46293.169930555552</v>
      </c>
      <c r="G111" s="60" t="s">
        <v>164</v>
      </c>
      <c r="H111" s="60"/>
      <c r="I111" s="60"/>
      <c r="J111" s="60"/>
      <c r="K111" s="60"/>
      <c r="L111" s="60"/>
      <c r="M111" s="60"/>
    </row>
    <row r="112" spans="3:13" x14ac:dyDescent="0.3">
      <c r="C112" s="60"/>
      <c r="D112" s="60"/>
      <c r="E112" s="68">
        <v>46293.669930555552</v>
      </c>
      <c r="F112" s="100">
        <v>46293.669930555552</v>
      </c>
      <c r="G112" s="60" t="s">
        <v>165</v>
      </c>
      <c r="H112" s="60"/>
      <c r="I112" s="60"/>
      <c r="J112" s="60"/>
      <c r="K112" s="60"/>
      <c r="L112" s="60"/>
      <c r="M112" s="60"/>
    </row>
    <row r="113" spans="3:13" x14ac:dyDescent="0.3">
      <c r="C113" s="60"/>
      <c r="D113" s="60"/>
      <c r="E113" s="68">
        <v>46293.669930555552</v>
      </c>
      <c r="F113" s="101">
        <v>46293.669930555552</v>
      </c>
      <c r="G113" s="60" t="s">
        <v>166</v>
      </c>
      <c r="H113" s="60"/>
      <c r="I113" s="60"/>
      <c r="J113" s="60"/>
      <c r="K113" s="60"/>
      <c r="L113" s="60"/>
      <c r="M113" s="60"/>
    </row>
    <row r="114" spans="3:13" x14ac:dyDescent="0.3">
      <c r="C114" s="60"/>
      <c r="D114" s="60"/>
      <c r="E114" s="68">
        <v>46293.669930555552</v>
      </c>
      <c r="F114" s="102">
        <v>46293.669930555552</v>
      </c>
      <c r="G114" s="60" t="s">
        <v>167</v>
      </c>
      <c r="H114" s="60"/>
      <c r="I114" s="60"/>
      <c r="J114" s="60"/>
      <c r="K114" s="60"/>
      <c r="L114" s="60"/>
      <c r="M114" s="60"/>
    </row>
    <row r="115" spans="3:13" x14ac:dyDescent="0.3">
      <c r="C115" s="60"/>
      <c r="D115" s="60"/>
      <c r="E115" s="68">
        <v>46293.669930555552</v>
      </c>
      <c r="F115" s="103">
        <v>46293.669930555552</v>
      </c>
      <c r="G115" s="60" t="s">
        <v>168</v>
      </c>
      <c r="H115" s="60"/>
      <c r="I115" s="60"/>
      <c r="J115" s="60"/>
      <c r="K115" s="60"/>
      <c r="L115" s="60"/>
      <c r="M115" s="60"/>
    </row>
    <row r="116" spans="3:13" x14ac:dyDescent="0.3">
      <c r="C116" s="60"/>
      <c r="D116" s="60"/>
      <c r="E116" s="68">
        <v>46293.669930555552</v>
      </c>
      <c r="F116" s="104">
        <v>46293.669930555552</v>
      </c>
      <c r="G116" s="60" t="s">
        <v>169</v>
      </c>
      <c r="H116" s="60"/>
      <c r="I116" s="60"/>
      <c r="J116" s="60"/>
      <c r="K116" s="60"/>
      <c r="L116" s="60"/>
      <c r="M116" s="60"/>
    </row>
    <row r="117" spans="3:13" x14ac:dyDescent="0.3">
      <c r="C117" s="60"/>
      <c r="D117" s="60"/>
      <c r="E117" s="68">
        <v>46293.669930555552</v>
      </c>
      <c r="F117" s="105">
        <v>46293.669930555552</v>
      </c>
      <c r="G117" s="60" t="s">
        <v>170</v>
      </c>
      <c r="H117" s="60"/>
      <c r="I117" s="60"/>
      <c r="J117" s="60"/>
      <c r="K117" s="60"/>
      <c r="L117" s="60"/>
      <c r="M117" s="60"/>
    </row>
    <row r="118" spans="3:13" x14ac:dyDescent="0.3">
      <c r="C118" s="60"/>
      <c r="D118" s="60"/>
      <c r="E118" s="68">
        <v>46293.669930555552</v>
      </c>
      <c r="F118" s="106">
        <v>46293.669930555552</v>
      </c>
      <c r="G118" s="60" t="s">
        <v>171</v>
      </c>
      <c r="H118" s="60"/>
      <c r="I118" s="60"/>
      <c r="J118" s="60"/>
      <c r="K118" s="60"/>
      <c r="L118" s="60"/>
      <c r="M118" s="60"/>
    </row>
    <row r="119" spans="3:13" x14ac:dyDescent="0.3">
      <c r="C119" s="60"/>
      <c r="D119" s="60"/>
      <c r="E119" s="68">
        <v>46293.669930555552</v>
      </c>
      <c r="F119" s="107">
        <v>46293.669930555552</v>
      </c>
      <c r="G119" s="60" t="s">
        <v>172</v>
      </c>
      <c r="H119" s="60"/>
      <c r="I119" s="60"/>
      <c r="J119" s="60"/>
      <c r="K119" s="60"/>
      <c r="L119" s="60"/>
      <c r="M119" s="60"/>
    </row>
  </sheetData>
  <mergeCells count="6">
    <mergeCell ref="B1:I1"/>
    <mergeCell ref="B3:B4"/>
    <mergeCell ref="C3:C4"/>
    <mergeCell ref="D3:E3"/>
    <mergeCell ref="G3:H3"/>
    <mergeCell ref="I3:I4"/>
  </mergeCells>
  <phoneticPr fontId="2" type="noConversion"/>
  <pageMargins left="0.7" right="0.7" top="0.75" bottom="0.75" header="0.3" footer="0.3"/>
  <pageSetup paperSize="9" orientation="landscape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M14"/>
  <sheetViews>
    <sheetView zoomScale="130" zoomScaleNormal="130" workbookViewId="0">
      <selection activeCell="K7" sqref="K7"/>
    </sheetView>
  </sheetViews>
  <sheetFormatPr defaultRowHeight="16.5" x14ac:dyDescent="0.3"/>
  <cols>
    <col min="1" max="1" width="2.625" customWidth="1"/>
    <col min="3" max="3" width="10.375" bestFit="1" customWidth="1"/>
    <col min="9" max="9" width="10.375" bestFit="1" customWidth="1"/>
    <col min="13" max="13" width="10.5" customWidth="1"/>
  </cols>
  <sheetData>
    <row r="1" spans="2:13" x14ac:dyDescent="0.3">
      <c r="B1" t="s">
        <v>0</v>
      </c>
    </row>
    <row r="2" spans="2:13" ht="17.25" thickBot="1" x14ac:dyDescent="0.35"/>
    <row r="3" spans="2:13" x14ac:dyDescent="0.3">
      <c r="B3" s="121" t="s">
        <v>2</v>
      </c>
      <c r="C3" s="122" t="s">
        <v>3</v>
      </c>
      <c r="D3" s="122" t="s">
        <v>4</v>
      </c>
      <c r="E3" s="122"/>
      <c r="F3" s="28" t="s">
        <v>5</v>
      </c>
      <c r="G3" s="122" t="s">
        <v>6</v>
      </c>
      <c r="H3" s="122"/>
      <c r="I3" s="124" t="s">
        <v>7</v>
      </c>
      <c r="K3" t="s">
        <v>119</v>
      </c>
      <c r="L3" t="s">
        <v>120</v>
      </c>
      <c r="M3" t="s">
        <v>122</v>
      </c>
    </row>
    <row r="4" spans="2:13" x14ac:dyDescent="0.3">
      <c r="B4" s="116"/>
      <c r="C4" s="123"/>
      <c r="D4" s="4" t="s">
        <v>8</v>
      </c>
      <c r="E4" s="4" t="s">
        <v>9</v>
      </c>
      <c r="F4" s="4" t="s">
        <v>10</v>
      </c>
      <c r="G4" s="4" t="s">
        <v>11</v>
      </c>
      <c r="H4" s="4" t="s">
        <v>12</v>
      </c>
      <c r="I4" s="125"/>
      <c r="K4" s="1" t="s">
        <v>121</v>
      </c>
      <c r="M4" t="s">
        <v>123</v>
      </c>
    </row>
    <row r="5" spans="2:13" x14ac:dyDescent="0.3">
      <c r="B5" s="116" t="s">
        <v>13</v>
      </c>
      <c r="C5" s="29" t="s">
        <v>14</v>
      </c>
      <c r="D5" s="5">
        <v>125</v>
      </c>
      <c r="E5" s="5">
        <v>156</v>
      </c>
      <c r="F5" s="5">
        <v>204</v>
      </c>
      <c r="G5" s="5">
        <v>157</v>
      </c>
      <c r="H5" s="5">
        <v>347</v>
      </c>
      <c r="I5" s="8">
        <f>SUM(D5:H5)</f>
        <v>989</v>
      </c>
    </row>
    <row r="6" spans="2:13" x14ac:dyDescent="0.3">
      <c r="B6" s="116"/>
      <c r="C6" s="29" t="s">
        <v>15</v>
      </c>
      <c r="D6" s="5">
        <v>52</v>
      </c>
      <c r="E6" s="5">
        <v>36</v>
      </c>
      <c r="F6" s="5">
        <v>27</v>
      </c>
      <c r="G6" s="5">
        <v>47</v>
      </c>
      <c r="H6" s="5">
        <v>36</v>
      </c>
      <c r="I6" s="8">
        <f t="shared" ref="I6:I12" si="0">SUM(D6:H6)</f>
        <v>198</v>
      </c>
    </row>
    <row r="7" spans="2:13" x14ac:dyDescent="0.3">
      <c r="B7" s="116" t="s">
        <v>16</v>
      </c>
      <c r="C7" s="29" t="s">
        <v>17</v>
      </c>
      <c r="D7" s="5">
        <v>25</v>
      </c>
      <c r="E7" s="5">
        <v>58</v>
      </c>
      <c r="F7" s="5">
        <v>56</v>
      </c>
      <c r="G7" s="5">
        <v>32</v>
      </c>
      <c r="H7" s="5">
        <v>24</v>
      </c>
      <c r="I7" s="8">
        <f>SUM(D7:H7)</f>
        <v>195</v>
      </c>
    </row>
    <row r="8" spans="2:13" x14ac:dyDescent="0.3">
      <c r="B8" s="116"/>
      <c r="C8" s="29" t="s">
        <v>18</v>
      </c>
      <c r="D8" s="5">
        <v>34</v>
      </c>
      <c r="E8" s="5">
        <v>62</v>
      </c>
      <c r="F8" s="5">
        <v>62</v>
      </c>
      <c r="G8" s="5">
        <v>34</v>
      </c>
      <c r="H8" s="5">
        <v>82</v>
      </c>
      <c r="I8" s="8">
        <f>SUM(D8:H8)</f>
        <v>274</v>
      </c>
    </row>
    <row r="9" spans="2:13" x14ac:dyDescent="0.3">
      <c r="B9" s="116"/>
      <c r="C9" s="29" t="s">
        <v>19</v>
      </c>
      <c r="D9" s="5">
        <v>85</v>
      </c>
      <c r="E9" s="5">
        <v>36</v>
      </c>
      <c r="F9" s="5">
        <v>75</v>
      </c>
      <c r="G9" s="5">
        <v>64</v>
      </c>
      <c r="H9" s="5">
        <v>28</v>
      </c>
      <c r="I9" s="8">
        <f>SUM(D9:H9)</f>
        <v>288</v>
      </c>
    </row>
    <row r="10" spans="2:13" x14ac:dyDescent="0.3">
      <c r="B10" s="116" t="s">
        <v>20</v>
      </c>
      <c r="C10" s="29" t="s">
        <v>21</v>
      </c>
      <c r="D10" s="5">
        <v>68</v>
      </c>
      <c r="E10" s="5">
        <v>92</v>
      </c>
      <c r="F10" s="5">
        <v>51</v>
      </c>
      <c r="G10" s="5">
        <v>73</v>
      </c>
      <c r="H10" s="5">
        <v>54</v>
      </c>
      <c r="I10" s="8">
        <f t="shared" si="0"/>
        <v>338</v>
      </c>
    </row>
    <row r="11" spans="2:13" x14ac:dyDescent="0.3">
      <c r="B11" s="116"/>
      <c r="C11" s="29" t="s">
        <v>22</v>
      </c>
      <c r="D11" s="5">
        <v>31</v>
      </c>
      <c r="E11" s="5">
        <v>30</v>
      </c>
      <c r="F11" s="5">
        <v>42</v>
      </c>
      <c r="G11" s="5">
        <v>17</v>
      </c>
      <c r="H11" s="5">
        <v>25</v>
      </c>
      <c r="I11" s="8">
        <f t="shared" si="0"/>
        <v>145</v>
      </c>
    </row>
    <row r="12" spans="2:13" x14ac:dyDescent="0.3">
      <c r="B12" s="116"/>
      <c r="C12" s="29" t="s">
        <v>23</v>
      </c>
      <c r="D12" s="5">
        <v>106</v>
      </c>
      <c r="E12" s="5">
        <v>88</v>
      </c>
      <c r="F12" s="5">
        <v>124</v>
      </c>
      <c r="G12" s="5">
        <v>64</v>
      </c>
      <c r="H12" s="5">
        <v>72</v>
      </c>
      <c r="I12" s="8">
        <f t="shared" si="0"/>
        <v>454</v>
      </c>
    </row>
    <row r="13" spans="2:13" x14ac:dyDescent="0.3">
      <c r="B13" s="117" t="s">
        <v>24</v>
      </c>
      <c r="C13" s="118"/>
      <c r="D13" s="6">
        <f t="shared" ref="D13:H13" si="1">SUM(D5:D12)</f>
        <v>526</v>
      </c>
      <c r="E13" s="6">
        <f t="shared" si="1"/>
        <v>558</v>
      </c>
      <c r="F13" s="6">
        <f t="shared" si="1"/>
        <v>641</v>
      </c>
      <c r="G13" s="6">
        <f t="shared" si="1"/>
        <v>488</v>
      </c>
      <c r="H13" s="6">
        <f t="shared" si="1"/>
        <v>668</v>
      </c>
      <c r="I13" s="10"/>
    </row>
    <row r="14" spans="2:13" ht="17.25" thickBot="1" x14ac:dyDescent="0.35">
      <c r="B14" s="119" t="s">
        <v>25</v>
      </c>
      <c r="C14" s="120"/>
      <c r="D14" s="58">
        <f>AVERAGE(D5:D12)</f>
        <v>65.75</v>
      </c>
      <c r="E14" s="58">
        <f t="shared" ref="E14:H14" si="2">AVERAGE(E5:E12)</f>
        <v>69.75</v>
      </c>
      <c r="F14" s="58">
        <f t="shared" si="2"/>
        <v>80.125</v>
      </c>
      <c r="G14" s="58">
        <f t="shared" si="2"/>
        <v>61</v>
      </c>
      <c r="H14" s="58">
        <f t="shared" si="2"/>
        <v>83.5</v>
      </c>
      <c r="I14" s="11"/>
    </row>
  </sheetData>
  <mergeCells count="10">
    <mergeCell ref="B3:B4"/>
    <mergeCell ref="C3:C4"/>
    <mergeCell ref="D3:E3"/>
    <mergeCell ref="G3:H3"/>
    <mergeCell ref="I3:I4"/>
    <mergeCell ref="B5:B6"/>
    <mergeCell ref="B7:B9"/>
    <mergeCell ref="B10:B12"/>
    <mergeCell ref="B13:C13"/>
    <mergeCell ref="B14:C14"/>
  </mergeCells>
  <phoneticPr fontId="2" type="noConversion"/>
  <pageMargins left="0.7" right="0.7" top="0.75" bottom="0.75" header="0.3" footer="0.3"/>
  <pageSetup paperSize="9" orientation="portrait" horizontalDpi="4294967292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I14"/>
  <sheetViews>
    <sheetView workbookViewId="0"/>
  </sheetViews>
  <sheetFormatPr defaultRowHeight="16.5" x14ac:dyDescent="0.3"/>
  <cols>
    <col min="1" max="1" width="2.625" customWidth="1"/>
    <col min="3" max="3" width="10.375" bestFit="1" customWidth="1"/>
    <col min="9" max="9" width="10.375" bestFit="1" customWidth="1"/>
  </cols>
  <sheetData>
    <row r="1" spans="2:9" x14ac:dyDescent="0.3">
      <c r="B1" t="s">
        <v>0</v>
      </c>
    </row>
    <row r="2" spans="2:9" ht="17.25" thickBot="1" x14ac:dyDescent="0.35"/>
    <row r="3" spans="2:9" x14ac:dyDescent="0.3">
      <c r="B3" s="121" t="s">
        <v>2</v>
      </c>
      <c r="C3" s="122" t="s">
        <v>3</v>
      </c>
      <c r="D3" s="122" t="s">
        <v>4</v>
      </c>
      <c r="E3" s="122"/>
      <c r="F3" s="7" t="s">
        <v>5</v>
      </c>
      <c r="G3" s="122" t="s">
        <v>6</v>
      </c>
      <c r="H3" s="122"/>
      <c r="I3" s="124" t="s">
        <v>7</v>
      </c>
    </row>
    <row r="4" spans="2:9" x14ac:dyDescent="0.3">
      <c r="B4" s="116"/>
      <c r="C4" s="123"/>
      <c r="D4" s="4" t="s">
        <v>8</v>
      </c>
      <c r="E4" s="4" t="s">
        <v>9</v>
      </c>
      <c r="F4" s="4" t="s">
        <v>10</v>
      </c>
      <c r="G4" s="4" t="s">
        <v>11</v>
      </c>
      <c r="H4" s="4" t="s">
        <v>12</v>
      </c>
      <c r="I4" s="125"/>
    </row>
    <row r="5" spans="2:9" x14ac:dyDescent="0.3">
      <c r="B5" s="116" t="s">
        <v>13</v>
      </c>
      <c r="C5" s="3" t="s">
        <v>14</v>
      </c>
      <c r="D5" s="5">
        <v>125</v>
      </c>
      <c r="E5" s="5">
        <v>156</v>
      </c>
      <c r="F5" s="5">
        <v>204</v>
      </c>
      <c r="G5" s="5">
        <v>157</v>
      </c>
      <c r="H5" s="5">
        <v>347</v>
      </c>
      <c r="I5" s="8">
        <f>SUM(D5:H5)</f>
        <v>989</v>
      </c>
    </row>
    <row r="6" spans="2:9" x14ac:dyDescent="0.3">
      <c r="B6" s="116"/>
      <c r="C6" s="3" t="s">
        <v>15</v>
      </c>
      <c r="D6" s="5">
        <v>52</v>
      </c>
      <c r="E6" s="5">
        <v>36</v>
      </c>
      <c r="F6" s="5">
        <v>27</v>
      </c>
      <c r="G6" s="5">
        <v>47</v>
      </c>
      <c r="H6" s="5">
        <v>36</v>
      </c>
      <c r="I6" s="8">
        <f t="shared" ref="I6:I12" si="0">SUM(D6:H6)</f>
        <v>198</v>
      </c>
    </row>
    <row r="7" spans="2:9" x14ac:dyDescent="0.3">
      <c r="B7" s="116" t="s">
        <v>16</v>
      </c>
      <c r="C7" s="3" t="s">
        <v>17</v>
      </c>
      <c r="D7" s="5">
        <v>25</v>
      </c>
      <c r="E7" s="5">
        <v>58</v>
      </c>
      <c r="F7" s="5">
        <v>56</v>
      </c>
      <c r="G7" s="5">
        <v>32</v>
      </c>
      <c r="H7" s="5">
        <v>24</v>
      </c>
      <c r="I7" s="8">
        <f>SUM(D7:H7)</f>
        <v>195</v>
      </c>
    </row>
    <row r="8" spans="2:9" x14ac:dyDescent="0.3">
      <c r="B8" s="116"/>
      <c r="C8" s="3" t="s">
        <v>18</v>
      </c>
      <c r="D8" s="5">
        <v>34</v>
      </c>
      <c r="E8" s="5">
        <v>62</v>
      </c>
      <c r="F8" s="5">
        <v>62</v>
      </c>
      <c r="G8" s="5">
        <v>34</v>
      </c>
      <c r="H8" s="5">
        <v>82</v>
      </c>
      <c r="I8" s="8">
        <f>SUM(D8:H8)</f>
        <v>274</v>
      </c>
    </row>
    <row r="9" spans="2:9" x14ac:dyDescent="0.3">
      <c r="B9" s="116"/>
      <c r="C9" s="3" t="s">
        <v>19</v>
      </c>
      <c r="D9" s="5">
        <v>85</v>
      </c>
      <c r="E9" s="5">
        <v>36</v>
      </c>
      <c r="F9" s="5">
        <v>75</v>
      </c>
      <c r="G9" s="5">
        <v>64</v>
      </c>
      <c r="H9" s="5">
        <v>28</v>
      </c>
      <c r="I9" s="8">
        <f>SUM(D9:H9)</f>
        <v>288</v>
      </c>
    </row>
    <row r="10" spans="2:9" x14ac:dyDescent="0.3">
      <c r="B10" s="116" t="s">
        <v>20</v>
      </c>
      <c r="C10" s="3" t="s">
        <v>21</v>
      </c>
      <c r="D10" s="5">
        <v>68</v>
      </c>
      <c r="E10" s="5">
        <v>92</v>
      </c>
      <c r="F10" s="5">
        <v>51</v>
      </c>
      <c r="G10" s="5">
        <v>73</v>
      </c>
      <c r="H10" s="5">
        <v>54</v>
      </c>
      <c r="I10" s="8">
        <f t="shared" si="0"/>
        <v>338</v>
      </c>
    </row>
    <row r="11" spans="2:9" x14ac:dyDescent="0.3">
      <c r="B11" s="116"/>
      <c r="C11" s="3" t="s">
        <v>22</v>
      </c>
      <c r="D11" s="5">
        <v>31</v>
      </c>
      <c r="E11" s="5">
        <v>30</v>
      </c>
      <c r="F11" s="5">
        <v>42</v>
      </c>
      <c r="G11" s="5">
        <v>17</v>
      </c>
      <c r="H11" s="5">
        <v>25</v>
      </c>
      <c r="I11" s="8">
        <f t="shared" si="0"/>
        <v>145</v>
      </c>
    </row>
    <row r="12" spans="2:9" x14ac:dyDescent="0.3">
      <c r="B12" s="116"/>
      <c r="C12" s="3" t="s">
        <v>23</v>
      </c>
      <c r="D12" s="5">
        <v>106</v>
      </c>
      <c r="E12" s="5">
        <v>88</v>
      </c>
      <c r="F12" s="5">
        <v>124</v>
      </c>
      <c r="G12" s="5">
        <v>64</v>
      </c>
      <c r="H12" s="5">
        <v>72</v>
      </c>
      <c r="I12" s="8">
        <f t="shared" si="0"/>
        <v>454</v>
      </c>
    </row>
    <row r="13" spans="2:9" x14ac:dyDescent="0.3">
      <c r="B13" s="117" t="s">
        <v>24</v>
      </c>
      <c r="C13" s="118"/>
      <c r="D13" s="6">
        <f t="shared" ref="D13:H13" si="1">SUM(D5:D12)</f>
        <v>526</v>
      </c>
      <c r="E13" s="6">
        <f t="shared" si="1"/>
        <v>558</v>
      </c>
      <c r="F13" s="6">
        <f t="shared" si="1"/>
        <v>641</v>
      </c>
      <c r="G13" s="6">
        <f t="shared" si="1"/>
        <v>488</v>
      </c>
      <c r="H13" s="6">
        <f t="shared" si="1"/>
        <v>668</v>
      </c>
      <c r="I13" s="10"/>
    </row>
    <row r="14" spans="2:9" ht="17.25" thickBot="1" x14ac:dyDescent="0.35">
      <c r="B14" s="119" t="s">
        <v>25</v>
      </c>
      <c r="C14" s="120"/>
      <c r="D14" s="9">
        <f>AVERAGE(D5:D12)</f>
        <v>65.75</v>
      </c>
      <c r="E14" s="9">
        <f t="shared" ref="E14:H14" si="2">AVERAGE(E5:E12)</f>
        <v>69.75</v>
      </c>
      <c r="F14" s="9">
        <f t="shared" si="2"/>
        <v>80.125</v>
      </c>
      <c r="G14" s="9">
        <f t="shared" si="2"/>
        <v>61</v>
      </c>
      <c r="H14" s="9">
        <f t="shared" si="2"/>
        <v>83.5</v>
      </c>
      <c r="I14" s="11"/>
    </row>
  </sheetData>
  <mergeCells count="10">
    <mergeCell ref="B14:C14"/>
    <mergeCell ref="B13:C13"/>
    <mergeCell ref="B10:B12"/>
    <mergeCell ref="B7:B9"/>
    <mergeCell ref="B5:B6"/>
    <mergeCell ref="B3:B4"/>
    <mergeCell ref="C3:C4"/>
    <mergeCell ref="D3:E3"/>
    <mergeCell ref="G3:H3"/>
    <mergeCell ref="I3:I4"/>
  </mergeCells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9"/>
  <sheetViews>
    <sheetView zoomScale="145" zoomScaleNormal="145" workbookViewId="0">
      <selection activeCell="H7" sqref="H7"/>
    </sheetView>
  </sheetViews>
  <sheetFormatPr defaultRowHeight="16.5" x14ac:dyDescent="0.3"/>
  <cols>
    <col min="3" max="3" width="13.25" customWidth="1"/>
  </cols>
  <sheetData>
    <row r="1" spans="1:6" ht="20.25" x14ac:dyDescent="0.3">
      <c r="A1" s="126" t="s">
        <v>1</v>
      </c>
      <c r="B1" s="126"/>
      <c r="C1" s="126"/>
      <c r="D1" s="126"/>
      <c r="E1" s="126"/>
      <c r="F1" s="126"/>
    </row>
    <row r="2" spans="1:6" ht="17.25" thickBot="1" x14ac:dyDescent="0.35"/>
    <row r="3" spans="1:6" x14ac:dyDescent="0.3">
      <c r="A3" s="17" t="s">
        <v>26</v>
      </c>
      <c r="B3" s="18" t="s">
        <v>27</v>
      </c>
      <c r="C3" s="18" t="s">
        <v>28</v>
      </c>
      <c r="D3" s="18" t="s">
        <v>29</v>
      </c>
      <c r="E3" s="18" t="s">
        <v>30</v>
      </c>
      <c r="F3" s="19" t="s">
        <v>31</v>
      </c>
    </row>
    <row r="4" spans="1:6" x14ac:dyDescent="0.3">
      <c r="A4" s="127" t="s">
        <v>32</v>
      </c>
      <c r="B4" s="129" t="s">
        <v>33</v>
      </c>
      <c r="C4" s="12" t="s">
        <v>34</v>
      </c>
      <c r="D4" s="13">
        <v>45</v>
      </c>
      <c r="E4" s="14">
        <v>2</v>
      </c>
      <c r="F4" s="130">
        <v>90</v>
      </c>
    </row>
    <row r="5" spans="1:6" x14ac:dyDescent="0.3">
      <c r="A5" s="127"/>
      <c r="B5" s="129"/>
      <c r="C5" s="12" t="s">
        <v>35</v>
      </c>
      <c r="D5" s="15">
        <v>40</v>
      </c>
      <c r="E5" s="14">
        <v>2</v>
      </c>
      <c r="F5" s="130"/>
    </row>
    <row r="6" spans="1:6" x14ac:dyDescent="0.3">
      <c r="A6" s="127"/>
      <c r="B6" s="129"/>
      <c r="C6" s="12" t="s">
        <v>36</v>
      </c>
      <c r="D6" s="15">
        <v>40</v>
      </c>
      <c r="E6" s="14">
        <v>2</v>
      </c>
      <c r="F6" s="130"/>
    </row>
    <row r="7" spans="1:6" x14ac:dyDescent="0.3">
      <c r="A7" s="127" t="s">
        <v>37</v>
      </c>
      <c r="B7" s="15" t="s">
        <v>38</v>
      </c>
      <c r="C7" s="16" t="s">
        <v>90</v>
      </c>
      <c r="D7" s="15">
        <v>3</v>
      </c>
      <c r="E7" s="14">
        <v>10</v>
      </c>
      <c r="F7" s="130">
        <v>30</v>
      </c>
    </row>
    <row r="8" spans="1:6" x14ac:dyDescent="0.3">
      <c r="A8" s="127"/>
      <c r="B8" s="15" t="s">
        <v>39</v>
      </c>
      <c r="C8" s="13" t="s">
        <v>40</v>
      </c>
      <c r="D8" s="15">
        <v>10</v>
      </c>
      <c r="E8" s="14">
        <v>5</v>
      </c>
      <c r="F8" s="130"/>
    </row>
    <row r="9" spans="1:6" ht="17.25" thickBot="1" x14ac:dyDescent="0.35">
      <c r="A9" s="128"/>
      <c r="B9" s="20" t="s">
        <v>41</v>
      </c>
      <c r="C9" s="21" t="s">
        <v>42</v>
      </c>
      <c r="D9" s="20">
        <v>2</v>
      </c>
      <c r="E9" s="22">
        <v>35</v>
      </c>
      <c r="F9" s="131"/>
    </row>
  </sheetData>
  <mergeCells count="6">
    <mergeCell ref="A1:F1"/>
    <mergeCell ref="A4:A6"/>
    <mergeCell ref="A7:A9"/>
    <mergeCell ref="B4:B6"/>
    <mergeCell ref="F4:F6"/>
    <mergeCell ref="F7:F9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9"/>
  <sheetViews>
    <sheetView workbookViewId="0">
      <selection sqref="A1:F1"/>
    </sheetView>
  </sheetViews>
  <sheetFormatPr defaultRowHeight="16.5" x14ac:dyDescent="0.3"/>
  <cols>
    <col min="3" max="3" width="13.25" customWidth="1"/>
  </cols>
  <sheetData>
    <row r="1" spans="1:6" ht="20.25" x14ac:dyDescent="0.3">
      <c r="A1" s="126" t="s">
        <v>1</v>
      </c>
      <c r="B1" s="126"/>
      <c r="C1" s="126"/>
      <c r="D1" s="126"/>
      <c r="E1" s="126"/>
      <c r="F1" s="126"/>
    </row>
    <row r="2" spans="1:6" ht="17.25" thickBot="1" x14ac:dyDescent="0.35"/>
    <row r="3" spans="1:6" x14ac:dyDescent="0.3">
      <c r="A3" s="17" t="s">
        <v>26</v>
      </c>
      <c r="B3" s="18" t="s">
        <v>27</v>
      </c>
      <c r="C3" s="18" t="s">
        <v>28</v>
      </c>
      <c r="D3" s="18" t="s">
        <v>29</v>
      </c>
      <c r="E3" s="18" t="s">
        <v>30</v>
      </c>
      <c r="F3" s="19" t="s">
        <v>31</v>
      </c>
    </row>
    <row r="4" spans="1:6" x14ac:dyDescent="0.3">
      <c r="A4" s="127" t="s">
        <v>32</v>
      </c>
      <c r="B4" s="129" t="s">
        <v>33</v>
      </c>
      <c r="C4" s="12" t="s">
        <v>34</v>
      </c>
      <c r="D4" s="13">
        <v>45</v>
      </c>
      <c r="E4" s="14">
        <v>2</v>
      </c>
      <c r="F4" s="130">
        <v>90</v>
      </c>
    </row>
    <row r="5" spans="1:6" x14ac:dyDescent="0.3">
      <c r="A5" s="127"/>
      <c r="B5" s="129"/>
      <c r="C5" s="12" t="s">
        <v>35</v>
      </c>
      <c r="D5" s="15">
        <v>40</v>
      </c>
      <c r="E5" s="14">
        <v>2</v>
      </c>
      <c r="F5" s="130"/>
    </row>
    <row r="6" spans="1:6" x14ac:dyDescent="0.3">
      <c r="A6" s="127"/>
      <c r="B6" s="129"/>
      <c r="C6" s="12" t="s">
        <v>36</v>
      </c>
      <c r="D6" s="15">
        <v>40</v>
      </c>
      <c r="E6" s="14">
        <v>2</v>
      </c>
      <c r="F6" s="130"/>
    </row>
    <row r="7" spans="1:6" x14ac:dyDescent="0.3">
      <c r="A7" s="127" t="s">
        <v>37</v>
      </c>
      <c r="B7" s="15" t="s">
        <v>38</v>
      </c>
      <c r="C7" s="16" t="s">
        <v>90</v>
      </c>
      <c r="D7" s="15">
        <v>3</v>
      </c>
      <c r="E7" s="14">
        <v>10</v>
      </c>
      <c r="F7" s="130">
        <v>30</v>
      </c>
    </row>
    <row r="8" spans="1:6" x14ac:dyDescent="0.3">
      <c r="A8" s="127"/>
      <c r="B8" s="15" t="s">
        <v>39</v>
      </c>
      <c r="C8" s="13" t="s">
        <v>40</v>
      </c>
      <c r="D8" s="15">
        <v>10</v>
      </c>
      <c r="E8" s="14">
        <v>5</v>
      </c>
      <c r="F8" s="130"/>
    </row>
    <row r="9" spans="1:6" ht="17.25" thickBot="1" x14ac:dyDescent="0.35">
      <c r="A9" s="128"/>
      <c r="B9" s="20" t="s">
        <v>41</v>
      </c>
      <c r="C9" s="21" t="s">
        <v>42</v>
      </c>
      <c r="D9" s="20">
        <v>2</v>
      </c>
      <c r="E9" s="22">
        <v>35</v>
      </c>
      <c r="F9" s="131"/>
    </row>
  </sheetData>
  <mergeCells count="6">
    <mergeCell ref="A1:F1"/>
    <mergeCell ref="F7:F9"/>
    <mergeCell ref="F4:F6"/>
    <mergeCell ref="B4:B6"/>
    <mergeCell ref="A7:A9"/>
    <mergeCell ref="A4:A6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7"/>
  <sheetViews>
    <sheetView tabSelected="1" workbookViewId="0">
      <selection activeCell="E17" sqref="E17"/>
    </sheetView>
  </sheetViews>
  <sheetFormatPr defaultRowHeight="16.5" x14ac:dyDescent="0.3"/>
  <cols>
    <col min="2" max="2" width="16.25" bestFit="1" customWidth="1"/>
    <col min="5" max="5" width="17.125" bestFit="1" customWidth="1"/>
    <col min="9" max="9" width="1.625" customWidth="1"/>
    <col min="10" max="10" width="11.125" bestFit="1" customWidth="1"/>
  </cols>
  <sheetData>
    <row r="1" spans="1:10" ht="30" customHeight="1" thickBot="1" x14ac:dyDescent="0.35">
      <c r="A1" s="132" t="s">
        <v>102</v>
      </c>
      <c r="B1" s="132"/>
      <c r="C1" s="132"/>
      <c r="D1" s="132"/>
      <c r="E1" s="132"/>
      <c r="F1" s="132"/>
      <c r="G1" s="132"/>
      <c r="H1" s="132"/>
    </row>
    <row r="2" spans="1:10" ht="17.25" thickTop="1" x14ac:dyDescent="0.3"/>
    <row r="3" spans="1:10" x14ac:dyDescent="0.3">
      <c r="A3" s="24" t="s">
        <v>43</v>
      </c>
      <c r="B3" s="24" t="s">
        <v>3</v>
      </c>
      <c r="C3" s="24" t="s">
        <v>45</v>
      </c>
      <c r="D3" s="24" t="s">
        <v>46</v>
      </c>
      <c r="E3" s="24" t="s">
        <v>47</v>
      </c>
      <c r="F3" s="24" t="s">
        <v>48</v>
      </c>
      <c r="G3" s="24" t="s">
        <v>49</v>
      </c>
      <c r="H3" s="24" t="s">
        <v>50</v>
      </c>
      <c r="J3" t="s">
        <v>51</v>
      </c>
    </row>
    <row r="4" spans="1:10" x14ac:dyDescent="0.3">
      <c r="A4" s="133" t="s">
        <v>52</v>
      </c>
      <c r="B4" s="25" t="s">
        <v>53</v>
      </c>
      <c r="C4" s="25" t="s">
        <v>103</v>
      </c>
      <c r="D4" s="25" t="s">
        <v>54</v>
      </c>
      <c r="E4" s="26" t="s">
        <v>104</v>
      </c>
      <c r="F4" s="27">
        <v>5000</v>
      </c>
      <c r="G4" s="25">
        <v>100</v>
      </c>
      <c r="H4" s="25" t="s">
        <v>55</v>
      </c>
      <c r="J4">
        <v>5</v>
      </c>
    </row>
    <row r="5" spans="1:10" x14ac:dyDescent="0.3">
      <c r="A5" s="133"/>
      <c r="B5" s="25" t="s">
        <v>56</v>
      </c>
      <c r="C5" s="25" t="s">
        <v>91</v>
      </c>
      <c r="D5" s="25" t="s">
        <v>57</v>
      </c>
      <c r="E5" s="26" t="s">
        <v>107</v>
      </c>
      <c r="F5" s="27">
        <v>12500</v>
      </c>
      <c r="G5" s="25">
        <v>48</v>
      </c>
      <c r="H5" s="25" t="s">
        <v>58</v>
      </c>
      <c r="J5">
        <v>3</v>
      </c>
    </row>
    <row r="6" spans="1:10" x14ac:dyDescent="0.3">
      <c r="A6" s="133"/>
      <c r="B6" s="25" t="s">
        <v>59</v>
      </c>
      <c r="C6" s="25" t="s">
        <v>92</v>
      </c>
      <c r="D6" s="25" t="s">
        <v>60</v>
      </c>
      <c r="E6" s="26" t="s">
        <v>107</v>
      </c>
      <c r="F6" s="27">
        <v>15000</v>
      </c>
      <c r="G6" s="25">
        <v>96</v>
      </c>
      <c r="H6" s="25" t="s">
        <v>61</v>
      </c>
      <c r="J6">
        <v>10</v>
      </c>
    </row>
    <row r="7" spans="1:10" x14ac:dyDescent="0.3">
      <c r="A7" s="133" t="s">
        <v>62</v>
      </c>
      <c r="B7" s="25" t="s">
        <v>63</v>
      </c>
      <c r="C7" s="25" t="s">
        <v>93</v>
      </c>
      <c r="D7" s="25" t="s">
        <v>64</v>
      </c>
      <c r="E7" s="26" t="s">
        <v>105</v>
      </c>
      <c r="F7" s="27">
        <v>10000</v>
      </c>
      <c r="G7" s="25">
        <v>27</v>
      </c>
      <c r="H7" s="25" t="s">
        <v>58</v>
      </c>
      <c r="J7">
        <v>15</v>
      </c>
    </row>
    <row r="8" spans="1:10" x14ac:dyDescent="0.3">
      <c r="A8" s="133"/>
      <c r="B8" s="25" t="s">
        <v>65</v>
      </c>
      <c r="C8" s="25" t="s">
        <v>94</v>
      </c>
      <c r="D8" s="25" t="s">
        <v>66</v>
      </c>
      <c r="E8" s="26" t="s">
        <v>108</v>
      </c>
      <c r="F8" s="27">
        <v>6500</v>
      </c>
      <c r="G8" s="25">
        <v>71</v>
      </c>
      <c r="H8" s="25" t="s">
        <v>61</v>
      </c>
      <c r="J8">
        <v>14</v>
      </c>
    </row>
    <row r="9" spans="1:10" x14ac:dyDescent="0.3">
      <c r="A9" s="133"/>
      <c r="B9" s="25" t="s">
        <v>68</v>
      </c>
      <c r="C9" s="25" t="s">
        <v>95</v>
      </c>
      <c r="D9" s="25" t="s">
        <v>69</v>
      </c>
      <c r="E9" s="26" t="s">
        <v>108</v>
      </c>
      <c r="F9" s="27">
        <v>8500</v>
      </c>
      <c r="G9" s="25">
        <v>75</v>
      </c>
      <c r="H9" s="25" t="s">
        <v>55</v>
      </c>
      <c r="J9">
        <v>7</v>
      </c>
    </row>
    <row r="10" spans="1:10" x14ac:dyDescent="0.3">
      <c r="A10" s="133" t="s">
        <v>70</v>
      </c>
      <c r="B10" s="25" t="s">
        <v>71</v>
      </c>
      <c r="C10" s="25" t="s">
        <v>96</v>
      </c>
      <c r="D10" s="25" t="s">
        <v>72</v>
      </c>
      <c r="E10" s="26" t="s">
        <v>104</v>
      </c>
      <c r="F10" s="27">
        <v>6500</v>
      </c>
      <c r="G10" s="25">
        <v>38</v>
      </c>
      <c r="H10" s="25" t="s">
        <v>55</v>
      </c>
      <c r="J10">
        <v>5</v>
      </c>
    </row>
    <row r="11" spans="1:10" x14ac:dyDescent="0.3">
      <c r="A11" s="133"/>
      <c r="B11" s="25" t="s">
        <v>74</v>
      </c>
      <c r="C11" s="25" t="s">
        <v>97</v>
      </c>
      <c r="D11" s="25" t="s">
        <v>75</v>
      </c>
      <c r="E11" s="26" t="s">
        <v>109</v>
      </c>
      <c r="F11" s="27">
        <v>13500</v>
      </c>
      <c r="G11" s="25">
        <v>87</v>
      </c>
      <c r="H11" s="25" t="s">
        <v>58</v>
      </c>
      <c r="J11">
        <v>3</v>
      </c>
    </row>
    <row r="12" spans="1:10" x14ac:dyDescent="0.3">
      <c r="A12" s="133"/>
      <c r="B12" s="25" t="s">
        <v>77</v>
      </c>
      <c r="C12" s="25" t="s">
        <v>98</v>
      </c>
      <c r="D12" s="25" t="s">
        <v>78</v>
      </c>
      <c r="E12" s="26" t="s">
        <v>105</v>
      </c>
      <c r="F12" s="27">
        <v>7000</v>
      </c>
      <c r="G12" s="25">
        <v>60</v>
      </c>
      <c r="H12" s="25" t="s">
        <v>61</v>
      </c>
      <c r="J12">
        <v>9</v>
      </c>
    </row>
    <row r="13" spans="1:10" x14ac:dyDescent="0.3">
      <c r="A13" s="133" t="s">
        <v>80</v>
      </c>
      <c r="B13" s="25" t="s">
        <v>81</v>
      </c>
      <c r="C13" s="25" t="s">
        <v>99</v>
      </c>
      <c r="D13" s="25" t="s">
        <v>69</v>
      </c>
      <c r="E13" s="26" t="s">
        <v>106</v>
      </c>
      <c r="F13" s="27">
        <v>15000</v>
      </c>
      <c r="G13" s="25">
        <v>66</v>
      </c>
      <c r="H13" s="25" t="s">
        <v>83</v>
      </c>
      <c r="J13">
        <v>4</v>
      </c>
    </row>
    <row r="14" spans="1:10" x14ac:dyDescent="0.3">
      <c r="A14" s="133"/>
      <c r="B14" s="25" t="s">
        <v>84</v>
      </c>
      <c r="C14" s="25" t="s">
        <v>100</v>
      </c>
      <c r="D14" s="25" t="s">
        <v>60</v>
      </c>
      <c r="E14" s="26" t="s">
        <v>106</v>
      </c>
      <c r="F14" s="27">
        <v>18500</v>
      </c>
      <c r="G14" s="25">
        <v>93</v>
      </c>
      <c r="H14" s="25" t="s">
        <v>83</v>
      </c>
      <c r="J14">
        <v>10</v>
      </c>
    </row>
    <row r="15" spans="1:10" x14ac:dyDescent="0.3">
      <c r="A15" s="133"/>
      <c r="B15" s="25" t="s">
        <v>87</v>
      </c>
      <c r="C15" s="25" t="s">
        <v>101</v>
      </c>
      <c r="D15" s="25" t="s">
        <v>88</v>
      </c>
      <c r="E15" s="26" t="s">
        <v>106</v>
      </c>
      <c r="F15" s="27">
        <v>16000</v>
      </c>
      <c r="G15" s="25">
        <v>65</v>
      </c>
      <c r="H15" s="25" t="s">
        <v>83</v>
      </c>
      <c r="J15">
        <v>21</v>
      </c>
    </row>
    <row r="17" spans="4:5" x14ac:dyDescent="0.3">
      <c r="D17" t="s">
        <v>89</v>
      </c>
      <c r="E17" s="23">
        <v>45657</v>
      </c>
    </row>
  </sheetData>
  <mergeCells count="5">
    <mergeCell ref="A1:H1"/>
    <mergeCell ref="A4:A6"/>
    <mergeCell ref="A7:A9"/>
    <mergeCell ref="A10:A12"/>
    <mergeCell ref="A13:A15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17"/>
  <sheetViews>
    <sheetView workbookViewId="0">
      <selection sqref="A1:H1"/>
    </sheetView>
  </sheetViews>
  <sheetFormatPr defaultRowHeight="16.5" x14ac:dyDescent="0.3"/>
  <cols>
    <col min="2" max="2" width="16.25" bestFit="1" customWidth="1"/>
    <col min="5" max="5" width="16.375" bestFit="1" customWidth="1"/>
    <col min="9" max="9" width="1.625" customWidth="1"/>
    <col min="10" max="10" width="11.125" bestFit="1" customWidth="1"/>
  </cols>
  <sheetData>
    <row r="1" spans="1:10" ht="30" customHeight="1" thickBot="1" x14ac:dyDescent="0.35">
      <c r="A1" s="132" t="s">
        <v>102</v>
      </c>
      <c r="B1" s="132"/>
      <c r="C1" s="132"/>
      <c r="D1" s="132"/>
      <c r="E1" s="132"/>
      <c r="F1" s="132"/>
      <c r="G1" s="132"/>
      <c r="H1" s="132"/>
    </row>
    <row r="2" spans="1:10" ht="17.25" thickTop="1" x14ac:dyDescent="0.3"/>
    <row r="3" spans="1:10" x14ac:dyDescent="0.3">
      <c r="A3" s="24" t="s">
        <v>43</v>
      </c>
      <c r="B3" s="24" t="s">
        <v>44</v>
      </c>
      <c r="C3" s="24" t="s">
        <v>45</v>
      </c>
      <c r="D3" s="24" t="s">
        <v>46</v>
      </c>
      <c r="E3" s="24" t="s">
        <v>47</v>
      </c>
      <c r="F3" s="24" t="s">
        <v>48</v>
      </c>
      <c r="G3" s="24" t="s">
        <v>49</v>
      </c>
      <c r="H3" s="24" t="s">
        <v>50</v>
      </c>
      <c r="J3" t="s">
        <v>51</v>
      </c>
    </row>
    <row r="4" spans="1:10" x14ac:dyDescent="0.3">
      <c r="A4" s="133" t="s">
        <v>52</v>
      </c>
      <c r="B4" s="25" t="s">
        <v>53</v>
      </c>
      <c r="C4" s="25" t="s">
        <v>103</v>
      </c>
      <c r="D4" s="25" t="s">
        <v>54</v>
      </c>
      <c r="E4" s="26" t="s">
        <v>104</v>
      </c>
      <c r="F4" s="27">
        <v>5000</v>
      </c>
      <c r="G4" s="25">
        <v>100</v>
      </c>
      <c r="H4" s="25" t="s">
        <v>55</v>
      </c>
      <c r="J4">
        <v>5</v>
      </c>
    </row>
    <row r="5" spans="1:10" x14ac:dyDescent="0.3">
      <c r="A5" s="133"/>
      <c r="B5" s="25" t="s">
        <v>56</v>
      </c>
      <c r="C5" s="25" t="s">
        <v>91</v>
      </c>
      <c r="D5" s="25" t="s">
        <v>57</v>
      </c>
      <c r="E5" s="26" t="s">
        <v>107</v>
      </c>
      <c r="F5" s="27">
        <v>12500</v>
      </c>
      <c r="G5" s="25">
        <v>48</v>
      </c>
      <c r="H5" s="25" t="s">
        <v>58</v>
      </c>
      <c r="J5">
        <v>3</v>
      </c>
    </row>
    <row r="6" spans="1:10" x14ac:dyDescent="0.3">
      <c r="A6" s="133"/>
      <c r="B6" s="25" t="s">
        <v>59</v>
      </c>
      <c r="C6" s="25" t="s">
        <v>92</v>
      </c>
      <c r="D6" s="25" t="s">
        <v>60</v>
      </c>
      <c r="E6" s="26" t="s">
        <v>107</v>
      </c>
      <c r="F6" s="27">
        <v>15000</v>
      </c>
      <c r="G6" s="25">
        <v>96</v>
      </c>
      <c r="H6" s="25" t="s">
        <v>61</v>
      </c>
      <c r="J6">
        <v>10</v>
      </c>
    </row>
    <row r="7" spans="1:10" x14ac:dyDescent="0.3">
      <c r="A7" s="133" t="s">
        <v>62</v>
      </c>
      <c r="B7" s="25" t="s">
        <v>63</v>
      </c>
      <c r="C7" s="25" t="s">
        <v>93</v>
      </c>
      <c r="D7" s="25" t="s">
        <v>64</v>
      </c>
      <c r="E7" s="26" t="s">
        <v>105</v>
      </c>
      <c r="F7" s="27">
        <v>10000</v>
      </c>
      <c r="G7" s="25">
        <v>27</v>
      </c>
      <c r="H7" s="25" t="s">
        <v>58</v>
      </c>
      <c r="J7">
        <v>15</v>
      </c>
    </row>
    <row r="8" spans="1:10" x14ac:dyDescent="0.3">
      <c r="A8" s="133"/>
      <c r="B8" s="25" t="s">
        <v>65</v>
      </c>
      <c r="C8" s="25" t="s">
        <v>94</v>
      </c>
      <c r="D8" s="25" t="s">
        <v>66</v>
      </c>
      <c r="E8" s="26" t="s">
        <v>108</v>
      </c>
      <c r="F8" s="27">
        <v>6500</v>
      </c>
      <c r="G8" s="25">
        <v>71</v>
      </c>
      <c r="H8" s="25" t="s">
        <v>67</v>
      </c>
      <c r="J8">
        <v>14</v>
      </c>
    </row>
    <row r="9" spans="1:10" x14ac:dyDescent="0.3">
      <c r="A9" s="133"/>
      <c r="B9" s="25" t="s">
        <v>68</v>
      </c>
      <c r="C9" s="25" t="s">
        <v>95</v>
      </c>
      <c r="D9" s="25" t="s">
        <v>69</v>
      </c>
      <c r="E9" s="26" t="s">
        <v>108</v>
      </c>
      <c r="F9" s="27">
        <v>8500</v>
      </c>
      <c r="G9" s="25">
        <v>75</v>
      </c>
      <c r="H9" s="25" t="s">
        <v>55</v>
      </c>
      <c r="J9">
        <v>7</v>
      </c>
    </row>
    <row r="10" spans="1:10" x14ac:dyDescent="0.3">
      <c r="A10" s="133" t="s">
        <v>70</v>
      </c>
      <c r="B10" s="25" t="s">
        <v>71</v>
      </c>
      <c r="C10" s="25" t="s">
        <v>96</v>
      </c>
      <c r="D10" s="25" t="s">
        <v>72</v>
      </c>
      <c r="E10" s="26" t="s">
        <v>104</v>
      </c>
      <c r="F10" s="27">
        <v>6500</v>
      </c>
      <c r="G10" s="25">
        <v>38</v>
      </c>
      <c r="H10" s="25" t="s">
        <v>73</v>
      </c>
      <c r="J10">
        <v>5</v>
      </c>
    </row>
    <row r="11" spans="1:10" x14ac:dyDescent="0.3">
      <c r="A11" s="133"/>
      <c r="B11" s="25" t="s">
        <v>74</v>
      </c>
      <c r="C11" s="25" t="s">
        <v>97</v>
      </c>
      <c r="D11" s="25" t="s">
        <v>75</v>
      </c>
      <c r="E11" s="26" t="s">
        <v>109</v>
      </c>
      <c r="F11" s="27">
        <v>13500</v>
      </c>
      <c r="G11" s="25">
        <v>87</v>
      </c>
      <c r="H11" s="25" t="s">
        <v>76</v>
      </c>
      <c r="J11">
        <v>3</v>
      </c>
    </row>
    <row r="12" spans="1:10" x14ac:dyDescent="0.3">
      <c r="A12" s="133"/>
      <c r="B12" s="25" t="s">
        <v>77</v>
      </c>
      <c r="C12" s="25" t="s">
        <v>98</v>
      </c>
      <c r="D12" s="25" t="s">
        <v>78</v>
      </c>
      <c r="E12" s="26" t="s">
        <v>105</v>
      </c>
      <c r="F12" s="27">
        <v>7000</v>
      </c>
      <c r="G12" s="25">
        <v>60</v>
      </c>
      <c r="H12" s="25" t="s">
        <v>79</v>
      </c>
      <c r="J12">
        <v>9</v>
      </c>
    </row>
    <row r="13" spans="1:10" x14ac:dyDescent="0.3">
      <c r="A13" s="133" t="s">
        <v>80</v>
      </c>
      <c r="B13" s="25" t="s">
        <v>81</v>
      </c>
      <c r="C13" s="25" t="s">
        <v>99</v>
      </c>
      <c r="D13" s="25" t="s">
        <v>82</v>
      </c>
      <c r="E13" s="26" t="s">
        <v>106</v>
      </c>
      <c r="F13" s="27">
        <v>15000</v>
      </c>
      <c r="G13" s="25">
        <v>66</v>
      </c>
      <c r="H13" s="25" t="s">
        <v>83</v>
      </c>
      <c r="J13">
        <v>4</v>
      </c>
    </row>
    <row r="14" spans="1:10" x14ac:dyDescent="0.3">
      <c r="A14" s="133"/>
      <c r="B14" s="25" t="s">
        <v>84</v>
      </c>
      <c r="C14" s="25" t="s">
        <v>100</v>
      </c>
      <c r="D14" s="25" t="s">
        <v>85</v>
      </c>
      <c r="E14" s="26" t="s">
        <v>106</v>
      </c>
      <c r="F14" s="27">
        <v>18500</v>
      </c>
      <c r="G14" s="25">
        <v>93</v>
      </c>
      <c r="H14" s="25" t="s">
        <v>86</v>
      </c>
      <c r="J14">
        <v>10</v>
      </c>
    </row>
    <row r="15" spans="1:10" x14ac:dyDescent="0.3">
      <c r="A15" s="133"/>
      <c r="B15" s="25" t="s">
        <v>87</v>
      </c>
      <c r="C15" s="25" t="s">
        <v>101</v>
      </c>
      <c r="D15" s="25" t="s">
        <v>88</v>
      </c>
      <c r="E15" s="26" t="s">
        <v>106</v>
      </c>
      <c r="F15" s="27">
        <v>16000</v>
      </c>
      <c r="G15" s="25">
        <v>65</v>
      </c>
      <c r="H15" s="25" t="s">
        <v>83</v>
      </c>
      <c r="J15">
        <v>21</v>
      </c>
    </row>
    <row r="17" spans="4:5" x14ac:dyDescent="0.3">
      <c r="D17" t="s">
        <v>89</v>
      </c>
      <c r="E17" s="23">
        <v>45657</v>
      </c>
    </row>
  </sheetData>
  <mergeCells count="5">
    <mergeCell ref="A1:H1"/>
    <mergeCell ref="A13:A15"/>
    <mergeCell ref="A10:A12"/>
    <mergeCell ref="A7:A9"/>
    <mergeCell ref="A4:A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2</vt:i4>
      </vt:variant>
    </vt:vector>
  </HeadingPairs>
  <TitlesOfParts>
    <vt:vector size="9" baseType="lpstr">
      <vt:lpstr>서식연습</vt:lpstr>
      <vt:lpstr>기본작업2-1</vt:lpstr>
      <vt:lpstr>기본작업2-1(결과)</vt:lpstr>
      <vt:lpstr>기본작업2-2</vt:lpstr>
      <vt:lpstr>기본작업2-2(결과)</vt:lpstr>
      <vt:lpstr>기본작업2-3</vt:lpstr>
      <vt:lpstr>기본작업2-3(결과)</vt:lpstr>
      <vt:lpstr>배점</vt:lpstr>
      <vt:lpstr>제품명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cp:lastPrinted>2026-10-27T07:41:26Z</cp:lastPrinted>
  <dcterms:created xsi:type="dcterms:W3CDTF">2020-04-05T04:10:18Z</dcterms:created>
  <dcterms:modified xsi:type="dcterms:W3CDTF">2026-10-29T05:57:01Z</dcterms:modified>
</cp:coreProperties>
</file>