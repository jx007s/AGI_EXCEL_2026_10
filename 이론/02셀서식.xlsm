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5년)\2급\기본서\2025컴활2급\이론\"/>
    </mc:Choice>
  </mc:AlternateContent>
  <xr:revisionPtr revIDLastSave="0" documentId="13_ncr:1_{19F82D03-B392-4D29-93FD-8C2B040A652A}" xr6:coauthVersionLast="47" xr6:coauthVersionMax="47" xr10:uidLastSave="{00000000-0000-0000-0000-000000000000}"/>
  <bookViews>
    <workbookView xWindow="18735" yWindow="3045" windowWidth="17445" windowHeight="11745" tabRatio="923" activeTab="1" xr2:uid="{00000000-000D-0000-FFFF-FFFF00000000}"/>
  </bookViews>
  <sheets>
    <sheet name="기본작업2-1" sheetId="4" r:id="rId1"/>
    <sheet name="기본작업2-1(결과)" sheetId="1" r:id="rId2"/>
    <sheet name="기본작업2-2" sheetId="5" r:id="rId3"/>
    <sheet name="기본작업2-2(결과)" sheetId="2" r:id="rId4"/>
    <sheet name="기본작업2-3" sheetId="7" r:id="rId5"/>
    <sheet name="기본작업2-3(결과)" sheetId="3" r:id="rId6"/>
  </sheets>
  <definedNames>
    <definedName name="배점1">'기본작업2-2(결과)'!$D$4:$D$9</definedName>
    <definedName name="제품명1">'기본작업2-1(결과)'!$C$5:$C$12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4" l="1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<sst xmlns="http://schemas.openxmlformats.org/spreadsheetml/2006/main" count="238" uniqueCount="124">
  <si>
    <t>영진유통 7월 라면류 매출현황</t>
    <phoneticPr fontId="2" type="noConversion"/>
  </si>
  <si>
    <t>인성인증 항목 및 배점표</t>
    <phoneticPr fontId="2" type="noConversion"/>
  </si>
  <si>
    <t>반려동물 간식 판매 현황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</si>
  <si>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</si>
  <si>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</si>
  <si>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</si>
  <si>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</si>
  <si>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</si>
  <si>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</si>
  <si>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</si>
  <si>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</si>
  <si>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</si>
  <si>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</si>
  <si>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</si>
  <si>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</si>
  <si>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</si>
  <si>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</si>
  <si>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</si>
  <si>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</si>
  <si>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</si>
  <si>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</si>
  <si>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</si>
  <si>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</si>
  <si>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</si>
  <si>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</si>
  <si>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</si>
  <si>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</si>
  <si>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</si>
  <si>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</si>
  <si>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</si>
  <si>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</si>
  <si>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</si>
  <si>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</si>
  <si>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</si>
  <si>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</si>
  <si>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</si>
  <si>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</si>
  <si>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</si>
  <si>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</si>
  <si>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</si>
  <si>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영화/연극/전시회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</si>
  <si>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</si>
  <si>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</si>
  <si>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</si>
  <si>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</si>
  <si>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</si>
  <si>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</si>
  <si>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</si>
  <si>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</si>
  <si>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</si>
  <si>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</si>
  <si>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</si>
  <si>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</si>
  <si>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</si>
  <si>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</si>
  <si>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</si>
  <si>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CK01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</si>
  <si>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</si>
  <si>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</si>
  <si>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</si>
  <si>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CK02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</si>
  <si>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</si>
  <si>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</si>
  <si>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</si>
  <si>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CK03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</si>
  <si>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</si>
  <si>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</si>
  <si>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</si>
  <si>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</si>
  <si>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BJ01</t>
    <phoneticPr fontId="2" type="noConversion"/>
  </si>
  <si>
    <t>250g</t>
    <phoneticPr fontId="2" type="noConversion"/>
  </si>
  <si>
    <t>오리오리육포</t>
    <phoneticPr fontId="2" type="noConversion"/>
  </si>
  <si>
    <t>BJ02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</si>
  <si>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</si>
  <si>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</si>
  <si>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</si>
  <si>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BJ03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</si>
  <si>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</si>
  <si>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</si>
  <si>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</si>
  <si>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GU01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</si>
  <si>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</si>
  <si>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</si>
  <si>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</si>
  <si>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GU02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</si>
  <si>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</si>
  <si>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</si>
  <si>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</si>
  <si>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GU03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</si>
  <si>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</si>
  <si>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</si>
  <si>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</si>
  <si>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</si>
  <si>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SN01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</si>
  <si>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</si>
  <si>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</si>
  <si>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</si>
  <si>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SN02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</si>
  <si>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</si>
  <si>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</si>
  <si>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</si>
  <si>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SN03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</si>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</sst>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1" fontId="0" fillId="0" borderId="0" xfId="1" applyFont="1">
      <alignment vertical="center"/>
    </xf>
    <xf numFmtId="0" fontId="0" fillId="0" borderId="0" xfId="0" applyNumberForma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4"/>
  <sheetViews>
    <sheetView workbookViewId="0"/>
  </sheetViews>
  <sheetFormatPr defaultRowHeight="16.5" x14ac:dyDescent="0.3"/>
  <cols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3" spans="2:9" x14ac:dyDescent="0.3">
      <c r="B3" s="36" t="s">
        <v>3</v>
      </c>
      <c r="C3" s="36" t="s">
        <v>4</v>
      </c>
      <c r="D3" s="36" t="s">
        <v>5</v>
      </c>
      <c r="E3" s="36"/>
      <c r="F3" s="1" t="s">
        <v>6</v>
      </c>
      <c r="G3" s="36" t="s">
        <v>7</v>
      </c>
      <c r="H3" s="36"/>
      <c r="I3" s="36" t="s">
        <v>8</v>
      </c>
    </row>
    <row r="4" spans="2:9" x14ac:dyDescent="0.3">
      <c r="B4" s="36"/>
      <c r="C4" s="36"/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36"/>
    </row>
    <row r="5" spans="2:9" x14ac:dyDescent="0.3">
      <c r="B5" t="s">
        <v>14</v>
      </c>
      <c r="C5" s="1" t="s">
        <v>15</v>
      </c>
      <c r="D5" s="3">
        <v>125</v>
      </c>
      <c r="E5" s="3">
        <v>156</v>
      </c>
      <c r="F5" s="3">
        <v>204</v>
      </c>
      <c r="G5" s="3">
        <v>157</v>
      </c>
      <c r="H5" s="3">
        <v>347</v>
      </c>
      <c r="I5" s="3">
        <f>SUM(D5:H5)</f>
        <v>989</v>
      </c>
    </row>
    <row r="6" spans="2:9" x14ac:dyDescent="0.3">
      <c r="C6" s="1" t="s">
        <v>16</v>
      </c>
      <c r="D6" s="3">
        <v>52</v>
      </c>
      <c r="E6" s="3">
        <v>36</v>
      </c>
      <c r="F6" s="3">
        <v>27</v>
      </c>
      <c r="G6" s="3">
        <v>47</v>
      </c>
      <c r="H6" s="3">
        <v>36</v>
      </c>
      <c r="I6" s="3">
        <f t="shared" ref="I6:I12" si="0">SUM(D6:H6)</f>
        <v>198</v>
      </c>
    </row>
    <row r="7" spans="2:9" x14ac:dyDescent="0.3">
      <c r="B7" t="s">
        <v>17</v>
      </c>
      <c r="C7" s="1" t="s">
        <v>18</v>
      </c>
      <c r="D7" s="3">
        <v>25</v>
      </c>
      <c r="E7" s="3">
        <v>58</v>
      </c>
      <c r="F7" s="3">
        <v>56</v>
      </c>
      <c r="G7" s="3">
        <v>32</v>
      </c>
      <c r="H7" s="3">
        <v>24</v>
      </c>
      <c r="I7" s="3">
        <f>SUM(D7:H7)</f>
        <v>195</v>
      </c>
    </row>
    <row r="8" spans="2:9" x14ac:dyDescent="0.3">
      <c r="C8" s="1" t="s">
        <v>19</v>
      </c>
      <c r="D8" s="3">
        <v>34</v>
      </c>
      <c r="E8" s="3">
        <v>62</v>
      </c>
      <c r="F8" s="3">
        <v>62</v>
      </c>
      <c r="G8" s="3">
        <v>34</v>
      </c>
      <c r="H8" s="3">
        <v>82</v>
      </c>
      <c r="I8" s="3">
        <f>SUM(D8:H8)</f>
        <v>274</v>
      </c>
    </row>
    <row r="9" spans="2:9" x14ac:dyDescent="0.3">
      <c r="C9" s="1" t="s">
        <v>20</v>
      </c>
      <c r="D9" s="3">
        <v>85</v>
      </c>
      <c r="E9" s="3">
        <v>36</v>
      </c>
      <c r="F9" s="3">
        <v>75</v>
      </c>
      <c r="G9" s="3">
        <v>64</v>
      </c>
      <c r="H9" s="3">
        <v>28</v>
      </c>
      <c r="I9" s="3">
        <f>SUM(D9:H9)</f>
        <v>288</v>
      </c>
    </row>
    <row r="10" spans="2:9" x14ac:dyDescent="0.3">
      <c r="B10" t="s">
        <v>21</v>
      </c>
      <c r="C10" s="1" t="s">
        <v>22</v>
      </c>
      <c r="D10" s="3">
        <v>68</v>
      </c>
      <c r="E10" s="3">
        <v>92</v>
      </c>
      <c r="F10" s="3">
        <v>51</v>
      </c>
      <c r="G10" s="3">
        <v>73</v>
      </c>
      <c r="H10" s="3">
        <v>54</v>
      </c>
      <c r="I10" s="3">
        <f t="shared" si="0"/>
        <v>338</v>
      </c>
    </row>
    <row r="11" spans="2:9" x14ac:dyDescent="0.3">
      <c r="C11" s="1" t="s">
        <v>23</v>
      </c>
      <c r="D11" s="3">
        <v>31</v>
      </c>
      <c r="E11" s="3">
        <v>30</v>
      </c>
      <c r="F11" s="3">
        <v>42</v>
      </c>
      <c r="G11" s="3">
        <v>17</v>
      </c>
      <c r="H11" s="3">
        <v>25</v>
      </c>
      <c r="I11" s="3">
        <f t="shared" si="0"/>
        <v>145</v>
      </c>
    </row>
    <row r="12" spans="2:9" x14ac:dyDescent="0.3">
      <c r="C12" s="1" t="s">
        <v>24</v>
      </c>
      <c r="D12" s="3">
        <v>106</v>
      </c>
      <c r="E12" s="3">
        <v>88</v>
      </c>
      <c r="F12" s="3">
        <v>124</v>
      </c>
      <c r="G12" s="3">
        <v>64</v>
      </c>
      <c r="H12" s="3">
        <v>72</v>
      </c>
      <c r="I12" s="3">
        <f t="shared" si="0"/>
        <v>454</v>
      </c>
    </row>
    <row r="13" spans="2:9" x14ac:dyDescent="0.3">
      <c r="B13" t="s">
        <v>25</v>
      </c>
      <c r="D13" s="3">
        <f t="shared" ref="D13:H13" si="1">SUM(D5:D12)</f>
        <v>526</v>
      </c>
      <c r="E13" s="3">
        <f t="shared" si="1"/>
        <v>558</v>
      </c>
      <c r="F13" s="3">
        <f t="shared" si="1"/>
        <v>641</v>
      </c>
      <c r="G13" s="3">
        <f t="shared" si="1"/>
        <v>488</v>
      </c>
      <c r="H13" s="3">
        <f t="shared" si="1"/>
        <v>668</v>
      </c>
      <c r="I13" s="3"/>
    </row>
    <row r="14" spans="2:9" x14ac:dyDescent="0.3">
      <c r="B14" t="s">
        <v>26</v>
      </c>
      <c r="D14" s="4">
        <f>AVERAGE(D5:D12)</f>
        <v>65.75</v>
      </c>
      <c r="E14" s="4">
        <f t="shared" ref="E14:H14" si="2">AVERAGE(E5:E12)</f>
        <v>69.75</v>
      </c>
      <c r="F14" s="4">
        <f t="shared" si="2"/>
        <v>80.125</v>
      </c>
      <c r="G14" s="4">
        <f t="shared" si="2"/>
        <v>61</v>
      </c>
      <c r="H14" s="4">
        <f t="shared" si="2"/>
        <v>83.5</v>
      </c>
    </row>
  </sheetData>
  <mergeCells count="5"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tabSelected="1"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37" t="s">
        <v>3</v>
      </c>
      <c r="C3" s="39" t="s">
        <v>4</v>
      </c>
      <c r="D3" s="39" t="s">
        <v>5</v>
      </c>
      <c r="E3" s="39"/>
      <c r="F3" s="15" t="s">
        <v>6</v>
      </c>
      <c r="G3" s="39" t="s">
        <v>7</v>
      </c>
      <c r="H3" s="39"/>
      <c r="I3" s="41" t="s">
        <v>8</v>
      </c>
    </row>
    <row r="4" spans="2:9" x14ac:dyDescent="0.3">
      <c r="B4" s="38"/>
      <c r="C4" s="40"/>
      <c r="D4" s="12" t="s">
        <v>9</v>
      </c>
      <c r="E4" s="12" t="s">
        <v>10</v>
      </c>
      <c r="F4" s="12" t="s">
        <v>11</v>
      </c>
      <c r="G4" s="12" t="s">
        <v>12</v>
      </c>
      <c r="H4" s="12" t="s">
        <v>13</v>
      </c>
      <c r="I4" s="42"/>
    </row>
    <row r="5" spans="2:9" x14ac:dyDescent="0.3">
      <c r="B5" s="38" t="s">
        <v>14</v>
      </c>
      <c r="C5" s="11" t="s">
        <v>15</v>
      </c>
      <c r="D5" s="13">
        <v>125</v>
      </c>
      <c r="E5" s="13">
        <v>156</v>
      </c>
      <c r="F5" s="13">
        <v>204</v>
      </c>
      <c r="G5" s="13">
        <v>157</v>
      </c>
      <c r="H5" s="13">
        <v>347</v>
      </c>
      <c r="I5" s="16">
        <f>SUM(D5:H5)</f>
        <v>989</v>
      </c>
    </row>
    <row r="6" spans="2:9" x14ac:dyDescent="0.3">
      <c r="B6" s="38"/>
      <c r="C6" s="11" t="s">
        <v>16</v>
      </c>
      <c r="D6" s="13">
        <v>52</v>
      </c>
      <c r="E6" s="13">
        <v>36</v>
      </c>
      <c r="F6" s="13">
        <v>27</v>
      </c>
      <c r="G6" s="13">
        <v>47</v>
      </c>
      <c r="H6" s="13">
        <v>36</v>
      </c>
      <c r="I6" s="16">
        <f t="shared" ref="I6:I12" si="0">SUM(D6:H6)</f>
        <v>198</v>
      </c>
    </row>
    <row r="7" spans="2:9" x14ac:dyDescent="0.3">
      <c r="B7" s="38" t="s">
        <v>17</v>
      </c>
      <c r="C7" s="11" t="s">
        <v>18</v>
      </c>
      <c r="D7" s="13">
        <v>25</v>
      </c>
      <c r="E7" s="13">
        <v>58</v>
      </c>
      <c r="F7" s="13">
        <v>56</v>
      </c>
      <c r="G7" s="13">
        <v>32</v>
      </c>
      <c r="H7" s="13">
        <v>24</v>
      </c>
      <c r="I7" s="16">
        <f>SUM(D7:H7)</f>
        <v>195</v>
      </c>
    </row>
    <row r="8" spans="2:9" x14ac:dyDescent="0.3">
      <c r="B8" s="38"/>
      <c r="C8" s="11" t="s">
        <v>19</v>
      </c>
      <c r="D8" s="13">
        <v>34</v>
      </c>
      <c r="E8" s="13">
        <v>62</v>
      </c>
      <c r="F8" s="13">
        <v>62</v>
      </c>
      <c r="G8" s="13">
        <v>34</v>
      </c>
      <c r="H8" s="13">
        <v>82</v>
      </c>
      <c r="I8" s="16">
        <f>SUM(D8:H8)</f>
        <v>274</v>
      </c>
    </row>
    <row r="9" spans="2:9" x14ac:dyDescent="0.3">
      <c r="B9" s="38"/>
      <c r="C9" s="11" t="s">
        <v>20</v>
      </c>
      <c r="D9" s="13">
        <v>85</v>
      </c>
      <c r="E9" s="13">
        <v>36</v>
      </c>
      <c r="F9" s="13">
        <v>75</v>
      </c>
      <c r="G9" s="13">
        <v>64</v>
      </c>
      <c r="H9" s="13">
        <v>28</v>
      </c>
      <c r="I9" s="16">
        <f>SUM(D9:H9)</f>
        <v>288</v>
      </c>
    </row>
    <row r="10" spans="2:9" x14ac:dyDescent="0.3">
      <c r="B10" s="38" t="s">
        <v>21</v>
      </c>
      <c r="C10" s="11" t="s">
        <v>22</v>
      </c>
      <c r="D10" s="13">
        <v>68</v>
      </c>
      <c r="E10" s="13">
        <v>92</v>
      </c>
      <c r="F10" s="13">
        <v>51</v>
      </c>
      <c r="G10" s="13">
        <v>73</v>
      </c>
      <c r="H10" s="13">
        <v>54</v>
      </c>
      <c r="I10" s="16">
        <f t="shared" si="0"/>
        <v>338</v>
      </c>
    </row>
    <row r="11" spans="2:9" x14ac:dyDescent="0.3">
      <c r="B11" s="38"/>
      <c r="C11" s="11" t="s">
        <v>23</v>
      </c>
      <c r="D11" s="13">
        <v>31</v>
      </c>
      <c r="E11" s="13">
        <v>30</v>
      </c>
      <c r="F11" s="13">
        <v>42</v>
      </c>
      <c r="G11" s="13">
        <v>17</v>
      </c>
      <c r="H11" s="13">
        <v>25</v>
      </c>
      <c r="I11" s="16">
        <f t="shared" si="0"/>
        <v>145</v>
      </c>
    </row>
    <row r="12" spans="2:9" x14ac:dyDescent="0.3">
      <c r="B12" s="38"/>
      <c r="C12" s="11" t="s">
        <v>24</v>
      </c>
      <c r="D12" s="13">
        <v>106</v>
      </c>
      <c r="E12" s="13">
        <v>88</v>
      </c>
      <c r="F12" s="13">
        <v>124</v>
      </c>
      <c r="G12" s="13">
        <v>64</v>
      </c>
      <c r="H12" s="13">
        <v>72</v>
      </c>
      <c r="I12" s="16">
        <f t="shared" si="0"/>
        <v>454</v>
      </c>
    </row>
    <row r="13" spans="2:9" x14ac:dyDescent="0.3">
      <c r="B13" s="45" t="s">
        <v>25</v>
      </c>
      <c r="C13" s="46"/>
      <c r="D13" s="14">
        <f t="shared" ref="D13:H13" si="1">SUM(D5:D12)</f>
        <v>526</v>
      </c>
      <c r="E13" s="14">
        <f t="shared" si="1"/>
        <v>558</v>
      </c>
      <c r="F13" s="14">
        <f t="shared" si="1"/>
        <v>641</v>
      </c>
      <c r="G13" s="14">
        <f t="shared" si="1"/>
        <v>488</v>
      </c>
      <c r="H13" s="14">
        <f t="shared" si="1"/>
        <v>668</v>
      </c>
      <c r="I13" s="18"/>
    </row>
    <row r="14" spans="2:9" ht="17.25" thickBot="1" x14ac:dyDescent="0.35">
      <c r="B14" s="43" t="s">
        <v>26</v>
      </c>
      <c r="C14" s="44"/>
      <c r="D14" s="17">
        <f>AVERAGE(D5:D12)</f>
        <v>65.75</v>
      </c>
      <c r="E14" s="17">
        <f t="shared" ref="E14:H14" si="2">AVERAGE(E5:E12)</f>
        <v>69.75</v>
      </c>
      <c r="F14" s="17">
        <f t="shared" si="2"/>
        <v>80.125</v>
      </c>
      <c r="G14" s="17">
        <f t="shared" si="2"/>
        <v>61</v>
      </c>
      <c r="H14" s="17">
        <f t="shared" si="2"/>
        <v>83.5</v>
      </c>
      <c r="I14" s="19"/>
    </row>
  </sheetData>
  <mergeCells count="10">
    <mergeCell ref="B14:C14"/>
    <mergeCell ref="B13:C13"/>
    <mergeCell ref="B10:B12"/>
    <mergeCell ref="B7:B9"/>
    <mergeCell ref="B5:B6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workbookViewId="0"/>
  </sheetViews>
  <sheetFormatPr defaultRowHeight="16.5" x14ac:dyDescent="0.3"/>
  <cols>
    <col min="3" max="3" width="13.25" customWidth="1"/>
  </cols>
  <sheetData>
    <row r="1" spans="1:6" x14ac:dyDescent="0.3">
      <c r="A1" t="s">
        <v>1</v>
      </c>
    </row>
    <row r="3" spans="1:6" x14ac:dyDescent="0.3">
      <c r="A3" s="5" t="s">
        <v>27</v>
      </c>
      <c r="B3" s="5" t="s">
        <v>28</v>
      </c>
      <c r="C3" s="5" t="s">
        <v>29</v>
      </c>
      <c r="D3" s="5" t="s">
        <v>30</v>
      </c>
      <c r="E3" s="5" t="s">
        <v>31</v>
      </c>
      <c r="F3" s="5" t="s">
        <v>32</v>
      </c>
    </row>
    <row r="4" spans="1:6" x14ac:dyDescent="0.3">
      <c r="A4" s="6" t="s">
        <v>33</v>
      </c>
      <c r="B4" s="6" t="s">
        <v>34</v>
      </c>
      <c r="C4" s="7" t="s">
        <v>35</v>
      </c>
      <c r="D4" s="8">
        <v>45</v>
      </c>
      <c r="E4" s="6">
        <v>2</v>
      </c>
      <c r="F4" s="9">
        <v>90</v>
      </c>
    </row>
    <row r="5" spans="1:6" x14ac:dyDescent="0.3">
      <c r="A5" s="6"/>
      <c r="B5" s="6"/>
      <c r="C5" s="7" t="s">
        <v>36</v>
      </c>
      <c r="D5" s="6">
        <v>40</v>
      </c>
      <c r="E5" s="6">
        <v>2</v>
      </c>
      <c r="F5" s="9"/>
    </row>
    <row r="6" spans="1:6" x14ac:dyDescent="0.3">
      <c r="A6" s="6"/>
      <c r="B6" s="6"/>
      <c r="C6" s="7" t="s">
        <v>37</v>
      </c>
      <c r="D6" s="6">
        <v>40</v>
      </c>
      <c r="E6" s="6">
        <v>2</v>
      </c>
      <c r="F6" s="9"/>
    </row>
    <row r="7" spans="1:6" x14ac:dyDescent="0.3">
      <c r="A7" s="6" t="s">
        <v>38</v>
      </c>
      <c r="B7" s="6" t="s">
        <v>39</v>
      </c>
      <c r="C7" s="8" t="s">
        <v>40</v>
      </c>
      <c r="D7" s="6">
        <v>3</v>
      </c>
      <c r="E7" s="6">
        <v>10</v>
      </c>
      <c r="F7" s="9">
        <v>30</v>
      </c>
    </row>
    <row r="8" spans="1:6" x14ac:dyDescent="0.3">
      <c r="A8" s="6"/>
      <c r="B8" s="6" t="s">
        <v>41</v>
      </c>
      <c r="C8" s="8" t="s">
        <v>42</v>
      </c>
      <c r="D8" s="6">
        <v>10</v>
      </c>
      <c r="E8" s="6">
        <v>5</v>
      </c>
      <c r="F8" s="9"/>
    </row>
    <row r="9" spans="1:6" x14ac:dyDescent="0.3">
      <c r="A9" s="6"/>
      <c r="B9" s="6" t="s">
        <v>43</v>
      </c>
      <c r="C9" s="8" t="s">
        <v>44</v>
      </c>
      <c r="D9" s="6">
        <v>2</v>
      </c>
      <c r="E9" s="6">
        <v>35</v>
      </c>
      <c r="F9" s="9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47" t="s">
        <v>1</v>
      </c>
      <c r="B1" s="47"/>
      <c r="C1" s="47"/>
      <c r="D1" s="47"/>
      <c r="E1" s="47"/>
      <c r="F1" s="47"/>
    </row>
    <row r="2" spans="1:6" ht="17.25" thickBot="1" x14ac:dyDescent="0.35"/>
    <row r="3" spans="1:6" x14ac:dyDescent="0.3">
      <c r="A3" s="25" t="s">
        <v>27</v>
      </c>
      <c r="B3" s="26" t="s">
        <v>28</v>
      </c>
      <c r="C3" s="26" t="s">
        <v>29</v>
      </c>
      <c r="D3" s="26" t="s">
        <v>30</v>
      </c>
      <c r="E3" s="26" t="s">
        <v>31</v>
      </c>
      <c r="F3" s="27" t="s">
        <v>32</v>
      </c>
    </row>
    <row r="4" spans="1:6" x14ac:dyDescent="0.3">
      <c r="A4" s="51" t="s">
        <v>33</v>
      </c>
      <c r="B4" s="50" t="s">
        <v>34</v>
      </c>
      <c r="C4" s="20" t="s">
        <v>35</v>
      </c>
      <c r="D4" s="21">
        <v>45</v>
      </c>
      <c r="E4" s="22">
        <v>2</v>
      </c>
      <c r="F4" s="48">
        <v>90</v>
      </c>
    </row>
    <row r="5" spans="1:6" x14ac:dyDescent="0.3">
      <c r="A5" s="51"/>
      <c r="B5" s="50"/>
      <c r="C5" s="20" t="s">
        <v>36</v>
      </c>
      <c r="D5" s="23">
        <v>40</v>
      </c>
      <c r="E5" s="22">
        <v>2</v>
      </c>
      <c r="F5" s="48"/>
    </row>
    <row r="6" spans="1:6" x14ac:dyDescent="0.3">
      <c r="A6" s="51"/>
      <c r="B6" s="50"/>
      <c r="C6" s="20" t="s">
        <v>37</v>
      </c>
      <c r="D6" s="23">
        <v>40</v>
      </c>
      <c r="E6" s="22">
        <v>2</v>
      </c>
      <c r="F6" s="48"/>
    </row>
    <row r="7" spans="1:6" x14ac:dyDescent="0.3">
      <c r="A7" s="51" t="s">
        <v>38</v>
      </c>
      <c r="B7" s="23" t="s">
        <v>39</v>
      </c>
      <c r="C7" s="24" t="s">
        <v>104</v>
      </c>
      <c r="D7" s="23">
        <v>3</v>
      </c>
      <c r="E7" s="22">
        <v>10</v>
      </c>
      <c r="F7" s="48">
        <v>30</v>
      </c>
    </row>
    <row r="8" spans="1:6" x14ac:dyDescent="0.3">
      <c r="A8" s="51"/>
      <c r="B8" s="23" t="s">
        <v>41</v>
      </c>
      <c r="C8" s="21" t="s">
        <v>42</v>
      </c>
      <c r="D8" s="23">
        <v>10</v>
      </c>
      <c r="E8" s="22">
        <v>5</v>
      </c>
      <c r="F8" s="48"/>
    </row>
    <row r="9" spans="1:6" ht="17.25" thickBot="1" x14ac:dyDescent="0.35">
      <c r="A9" s="52"/>
      <c r="B9" s="28" t="s">
        <v>43</v>
      </c>
      <c r="C9" s="29" t="s">
        <v>44</v>
      </c>
      <c r="D9" s="28">
        <v>2</v>
      </c>
      <c r="E9" s="30">
        <v>35</v>
      </c>
      <c r="F9" s="49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workbookViewId="0"/>
  </sheetViews>
  <sheetFormatPr defaultRowHeight="16.5" x14ac:dyDescent="0.3"/>
  <cols>
    <col min="2" max="2" width="16.25" bestFit="1" customWidth="1"/>
    <col min="5" max="5" width="11.625" bestFit="1" customWidth="1"/>
    <col min="9" max="9" width="1.625" customWidth="1"/>
    <col min="10" max="10" width="11.125" bestFit="1" customWidth="1"/>
  </cols>
  <sheetData>
    <row r="1" spans="1:10" x14ac:dyDescent="0.3">
      <c r="A1" t="s">
        <v>2</v>
      </c>
    </row>
    <row r="3" spans="1:10" x14ac:dyDescent="0.3">
      <c r="A3" t="s">
        <v>45</v>
      </c>
      <c r="B3" t="s">
        <v>4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J3" t="s">
        <v>53</v>
      </c>
    </row>
    <row r="4" spans="1:10" x14ac:dyDescent="0.3">
      <c r="A4" t="s">
        <v>54</v>
      </c>
      <c r="B4" t="s">
        <v>55</v>
      </c>
      <c r="C4" t="s">
        <v>56</v>
      </c>
      <c r="D4" t="s">
        <v>57</v>
      </c>
      <c r="E4" s="4" t="s">
        <v>118</v>
      </c>
      <c r="F4">
        <v>5000</v>
      </c>
      <c r="G4">
        <v>95</v>
      </c>
      <c r="H4" t="s">
        <v>58</v>
      </c>
      <c r="J4">
        <v>5</v>
      </c>
    </row>
    <row r="5" spans="1:10" x14ac:dyDescent="0.3">
      <c r="B5" t="s">
        <v>59</v>
      </c>
      <c r="C5" t="s">
        <v>60</v>
      </c>
      <c r="D5" t="s">
        <v>61</v>
      </c>
      <c r="E5" s="4" t="s">
        <v>121</v>
      </c>
      <c r="F5">
        <v>12500</v>
      </c>
      <c r="G5">
        <v>45</v>
      </c>
      <c r="H5" t="s">
        <v>62</v>
      </c>
      <c r="J5">
        <v>3</v>
      </c>
    </row>
    <row r="6" spans="1:10" x14ac:dyDescent="0.3">
      <c r="B6" t="s">
        <v>63</v>
      </c>
      <c r="C6" t="s">
        <v>64</v>
      </c>
      <c r="D6" t="s">
        <v>65</v>
      </c>
      <c r="E6" s="4" t="s">
        <v>121</v>
      </c>
      <c r="F6">
        <v>15000</v>
      </c>
      <c r="G6">
        <v>86</v>
      </c>
      <c r="H6" t="s">
        <v>66</v>
      </c>
      <c r="J6">
        <v>10</v>
      </c>
    </row>
    <row r="7" spans="1:10" x14ac:dyDescent="0.3">
      <c r="A7" t="s">
        <v>67</v>
      </c>
      <c r="B7" t="s">
        <v>68</v>
      </c>
      <c r="C7" t="s">
        <v>69</v>
      </c>
      <c r="D7" t="s">
        <v>70</v>
      </c>
      <c r="E7" s="4" t="s">
        <v>119</v>
      </c>
      <c r="F7">
        <v>10000</v>
      </c>
      <c r="G7">
        <v>12</v>
      </c>
      <c r="H7" t="s">
        <v>62</v>
      </c>
      <c r="J7">
        <v>15</v>
      </c>
    </row>
    <row r="8" spans="1:10" x14ac:dyDescent="0.3">
      <c r="B8" t="s">
        <v>71</v>
      </c>
      <c r="C8" t="s">
        <v>72</v>
      </c>
      <c r="D8" t="s">
        <v>73</v>
      </c>
      <c r="E8" s="4" t="s">
        <v>122</v>
      </c>
      <c r="F8">
        <v>6500</v>
      </c>
      <c r="G8">
        <v>57</v>
      </c>
      <c r="H8" t="s">
        <v>66</v>
      </c>
      <c r="J8">
        <v>14</v>
      </c>
    </row>
    <row r="9" spans="1:10" x14ac:dyDescent="0.3">
      <c r="B9" t="s">
        <v>75</v>
      </c>
      <c r="C9" t="s">
        <v>76</v>
      </c>
      <c r="D9" t="s">
        <v>77</v>
      </c>
      <c r="E9" s="4" t="s">
        <v>122</v>
      </c>
      <c r="F9">
        <v>8500</v>
      </c>
      <c r="G9">
        <v>68</v>
      </c>
      <c r="H9" t="s">
        <v>58</v>
      </c>
      <c r="J9">
        <v>7</v>
      </c>
    </row>
    <row r="10" spans="1:10" x14ac:dyDescent="0.3">
      <c r="A10" t="s">
        <v>78</v>
      </c>
      <c r="B10" t="s">
        <v>79</v>
      </c>
      <c r="C10" t="s">
        <v>80</v>
      </c>
      <c r="D10" t="s">
        <v>81</v>
      </c>
      <c r="E10" s="4" t="s">
        <v>118</v>
      </c>
      <c r="F10">
        <v>6500</v>
      </c>
      <c r="G10">
        <v>33</v>
      </c>
      <c r="H10" t="s">
        <v>58</v>
      </c>
      <c r="J10">
        <v>5</v>
      </c>
    </row>
    <row r="11" spans="1:10" x14ac:dyDescent="0.3">
      <c r="B11" t="s">
        <v>83</v>
      </c>
      <c r="C11" t="s">
        <v>84</v>
      </c>
      <c r="D11" t="s">
        <v>85</v>
      </c>
      <c r="E11" s="4" t="s">
        <v>123</v>
      </c>
      <c r="F11">
        <v>13500</v>
      </c>
      <c r="G11">
        <v>84</v>
      </c>
      <c r="H11" t="s">
        <v>62</v>
      </c>
      <c r="J11">
        <v>3</v>
      </c>
    </row>
    <row r="12" spans="1:10" x14ac:dyDescent="0.3">
      <c r="B12" t="s">
        <v>87</v>
      </c>
      <c r="C12" t="s">
        <v>88</v>
      </c>
      <c r="D12" t="s">
        <v>89</v>
      </c>
      <c r="E12" s="4" t="s">
        <v>119</v>
      </c>
      <c r="F12">
        <v>7000</v>
      </c>
      <c r="G12">
        <v>51</v>
      </c>
      <c r="H12" t="s">
        <v>66</v>
      </c>
      <c r="J12">
        <v>9</v>
      </c>
    </row>
    <row r="13" spans="1:10" x14ac:dyDescent="0.3">
      <c r="A13" t="s">
        <v>91</v>
      </c>
      <c r="B13" t="s">
        <v>92</v>
      </c>
      <c r="C13" t="s">
        <v>93</v>
      </c>
      <c r="D13" t="s">
        <v>77</v>
      </c>
      <c r="E13" s="4" t="s">
        <v>120</v>
      </c>
      <c r="F13">
        <v>15000</v>
      </c>
      <c r="G13">
        <v>62</v>
      </c>
      <c r="H13" t="s">
        <v>95</v>
      </c>
      <c r="J13">
        <v>4</v>
      </c>
    </row>
    <row r="14" spans="1:10" x14ac:dyDescent="0.3">
      <c r="B14" t="s">
        <v>96</v>
      </c>
      <c r="C14" t="s">
        <v>97</v>
      </c>
      <c r="D14" t="s">
        <v>65</v>
      </c>
      <c r="E14" s="4" t="s">
        <v>120</v>
      </c>
      <c r="F14">
        <v>18500</v>
      </c>
      <c r="G14">
        <v>83</v>
      </c>
      <c r="H14" t="s">
        <v>95</v>
      </c>
      <c r="J14">
        <v>10</v>
      </c>
    </row>
    <row r="15" spans="1:10" x14ac:dyDescent="0.3">
      <c r="B15" t="s">
        <v>100</v>
      </c>
      <c r="C15" t="s">
        <v>101</v>
      </c>
      <c r="D15" t="s">
        <v>102</v>
      </c>
      <c r="E15" s="4" t="s">
        <v>120</v>
      </c>
      <c r="F15">
        <v>16000</v>
      </c>
      <c r="G15">
        <v>44</v>
      </c>
      <c r="H15" t="s">
        <v>95</v>
      </c>
      <c r="J15">
        <v>21</v>
      </c>
    </row>
    <row r="17" spans="4:5" x14ac:dyDescent="0.3">
      <c r="D17" t="s">
        <v>103</v>
      </c>
      <c r="E17" s="10">
        <v>45657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53" t="s">
        <v>116</v>
      </c>
      <c r="B1" s="53"/>
      <c r="C1" s="53"/>
      <c r="D1" s="53"/>
      <c r="E1" s="53"/>
      <c r="F1" s="53"/>
      <c r="G1" s="53"/>
      <c r="H1" s="53"/>
    </row>
    <row r="2" spans="1:10" ht="17.25" thickTop="1" x14ac:dyDescent="0.3"/>
    <row r="3" spans="1:10" x14ac:dyDescent="0.3">
      <c r="A3" s="32" t="s">
        <v>45</v>
      </c>
      <c r="B3" s="32" t="s">
        <v>46</v>
      </c>
      <c r="C3" s="32" t="s">
        <v>47</v>
      </c>
      <c r="D3" s="32" t="s">
        <v>48</v>
      </c>
      <c r="E3" s="32" t="s">
        <v>49</v>
      </c>
      <c r="F3" s="32" t="s">
        <v>50</v>
      </c>
      <c r="G3" s="32" t="s">
        <v>51</v>
      </c>
      <c r="H3" s="32" t="s">
        <v>52</v>
      </c>
      <c r="J3" t="s">
        <v>53</v>
      </c>
    </row>
    <row r="4" spans="1:10" x14ac:dyDescent="0.3">
      <c r="A4" s="54" t="s">
        <v>54</v>
      </c>
      <c r="B4" s="33" t="s">
        <v>55</v>
      </c>
      <c r="C4" s="33" t="s">
        <v>117</v>
      </c>
      <c r="D4" s="33" t="s">
        <v>57</v>
      </c>
      <c r="E4" s="34" t="s">
        <v>118</v>
      </c>
      <c r="F4" s="35">
        <v>5000</v>
      </c>
      <c r="G4" s="33">
        <v>100</v>
      </c>
      <c r="H4" s="33" t="s">
        <v>58</v>
      </c>
      <c r="J4">
        <v>5</v>
      </c>
    </row>
    <row r="5" spans="1:10" x14ac:dyDescent="0.3">
      <c r="A5" s="54"/>
      <c r="B5" s="33" t="s">
        <v>59</v>
      </c>
      <c r="C5" s="33" t="s">
        <v>105</v>
      </c>
      <c r="D5" s="33" t="s">
        <v>61</v>
      </c>
      <c r="E5" s="34" t="s">
        <v>121</v>
      </c>
      <c r="F5" s="35">
        <v>12500</v>
      </c>
      <c r="G5" s="33">
        <v>48</v>
      </c>
      <c r="H5" s="33" t="s">
        <v>62</v>
      </c>
      <c r="J5">
        <v>3</v>
      </c>
    </row>
    <row r="6" spans="1:10" x14ac:dyDescent="0.3">
      <c r="A6" s="54"/>
      <c r="B6" s="33" t="s">
        <v>63</v>
      </c>
      <c r="C6" s="33" t="s">
        <v>106</v>
      </c>
      <c r="D6" s="33" t="s">
        <v>65</v>
      </c>
      <c r="E6" s="34" t="s">
        <v>121</v>
      </c>
      <c r="F6" s="35">
        <v>15000</v>
      </c>
      <c r="G6" s="33">
        <v>96</v>
      </c>
      <c r="H6" s="33" t="s">
        <v>66</v>
      </c>
      <c r="J6">
        <v>10</v>
      </c>
    </row>
    <row r="7" spans="1:10" x14ac:dyDescent="0.3">
      <c r="A7" s="54" t="s">
        <v>67</v>
      </c>
      <c r="B7" s="33" t="s">
        <v>68</v>
      </c>
      <c r="C7" s="33" t="s">
        <v>107</v>
      </c>
      <c r="D7" s="33" t="s">
        <v>70</v>
      </c>
      <c r="E7" s="34" t="s">
        <v>119</v>
      </c>
      <c r="F7" s="35">
        <v>10000</v>
      </c>
      <c r="G7" s="33">
        <v>27</v>
      </c>
      <c r="H7" s="33" t="s">
        <v>62</v>
      </c>
      <c r="J7">
        <v>15</v>
      </c>
    </row>
    <row r="8" spans="1:10" x14ac:dyDescent="0.3">
      <c r="A8" s="54"/>
      <c r="B8" s="33" t="s">
        <v>71</v>
      </c>
      <c r="C8" s="33" t="s">
        <v>108</v>
      </c>
      <c r="D8" s="33" t="s">
        <v>73</v>
      </c>
      <c r="E8" s="34" t="s">
        <v>122</v>
      </c>
      <c r="F8" s="35">
        <v>6500</v>
      </c>
      <c r="G8" s="33">
        <v>71</v>
      </c>
      <c r="H8" s="33" t="s">
        <v>74</v>
      </c>
      <c r="J8">
        <v>14</v>
      </c>
    </row>
    <row r="9" spans="1:10" x14ac:dyDescent="0.3">
      <c r="A9" s="54"/>
      <c r="B9" s="33" t="s">
        <v>75</v>
      </c>
      <c r="C9" s="33" t="s">
        <v>109</v>
      </c>
      <c r="D9" s="33" t="s">
        <v>77</v>
      </c>
      <c r="E9" s="34" t="s">
        <v>122</v>
      </c>
      <c r="F9" s="35">
        <v>8500</v>
      </c>
      <c r="G9" s="33">
        <v>75</v>
      </c>
      <c r="H9" s="33" t="s">
        <v>58</v>
      </c>
      <c r="J9">
        <v>7</v>
      </c>
    </row>
    <row r="10" spans="1:10" x14ac:dyDescent="0.3">
      <c r="A10" s="54" t="s">
        <v>78</v>
      </c>
      <c r="B10" s="33" t="s">
        <v>79</v>
      </c>
      <c r="C10" s="33" t="s">
        <v>110</v>
      </c>
      <c r="D10" s="33" t="s">
        <v>81</v>
      </c>
      <c r="E10" s="34" t="s">
        <v>118</v>
      </c>
      <c r="F10" s="35">
        <v>6500</v>
      </c>
      <c r="G10" s="33">
        <v>38</v>
      </c>
      <c r="H10" s="33" t="s">
        <v>82</v>
      </c>
      <c r="J10">
        <v>5</v>
      </c>
    </row>
    <row r="11" spans="1:10" x14ac:dyDescent="0.3">
      <c r="A11" s="54"/>
      <c r="B11" s="33" t="s">
        <v>83</v>
      </c>
      <c r="C11" s="33" t="s">
        <v>111</v>
      </c>
      <c r="D11" s="33" t="s">
        <v>85</v>
      </c>
      <c r="E11" s="34" t="s">
        <v>123</v>
      </c>
      <c r="F11" s="35">
        <v>13500</v>
      </c>
      <c r="G11" s="33">
        <v>87</v>
      </c>
      <c r="H11" s="33" t="s">
        <v>86</v>
      </c>
      <c r="J11">
        <v>3</v>
      </c>
    </row>
    <row r="12" spans="1:10" x14ac:dyDescent="0.3">
      <c r="A12" s="54"/>
      <c r="B12" s="33" t="s">
        <v>87</v>
      </c>
      <c r="C12" s="33" t="s">
        <v>112</v>
      </c>
      <c r="D12" s="33" t="s">
        <v>89</v>
      </c>
      <c r="E12" s="34" t="s">
        <v>119</v>
      </c>
      <c r="F12" s="35">
        <v>7000</v>
      </c>
      <c r="G12" s="33">
        <v>60</v>
      </c>
      <c r="H12" s="33" t="s">
        <v>90</v>
      </c>
      <c r="J12">
        <v>9</v>
      </c>
    </row>
    <row r="13" spans="1:10" x14ac:dyDescent="0.3">
      <c r="A13" s="54" t="s">
        <v>91</v>
      </c>
      <c r="B13" s="33" t="s">
        <v>92</v>
      </c>
      <c r="C13" s="33" t="s">
        <v>113</v>
      </c>
      <c r="D13" s="33" t="s">
        <v>94</v>
      </c>
      <c r="E13" s="34" t="s">
        <v>120</v>
      </c>
      <c r="F13" s="35">
        <v>15000</v>
      </c>
      <c r="G13" s="33">
        <v>66</v>
      </c>
      <c r="H13" s="33" t="s">
        <v>95</v>
      </c>
      <c r="J13">
        <v>4</v>
      </c>
    </row>
    <row r="14" spans="1:10" x14ac:dyDescent="0.3">
      <c r="A14" s="54"/>
      <c r="B14" s="33" t="s">
        <v>96</v>
      </c>
      <c r="C14" s="33" t="s">
        <v>114</v>
      </c>
      <c r="D14" s="33" t="s">
        <v>98</v>
      </c>
      <c r="E14" s="34" t="s">
        <v>120</v>
      </c>
      <c r="F14" s="35">
        <v>18500</v>
      </c>
      <c r="G14" s="33">
        <v>93</v>
      </c>
      <c r="H14" s="33" t="s">
        <v>99</v>
      </c>
      <c r="J14">
        <v>10</v>
      </c>
    </row>
    <row r="15" spans="1:10" x14ac:dyDescent="0.3">
      <c r="A15" s="54"/>
      <c r="B15" s="33" t="s">
        <v>100</v>
      </c>
      <c r="C15" s="33" t="s">
        <v>115</v>
      </c>
      <c r="D15" s="33" t="s">
        <v>102</v>
      </c>
      <c r="E15" s="34" t="s">
        <v>120</v>
      </c>
      <c r="F15" s="35">
        <v>16000</v>
      </c>
      <c r="G15" s="33">
        <v>65</v>
      </c>
      <c r="H15" s="33" t="s">
        <v>95</v>
      </c>
      <c r="J15">
        <v>21</v>
      </c>
    </row>
    <row r="17" spans="4:5" x14ac:dyDescent="0.3">
      <c r="D17" t="s">
        <v>103</v>
      </c>
      <c r="E17" s="31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배점1</vt:lpstr>
      <vt:lpstr>제품명1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2020-04-05T04:10:18Z</dcterms:created>
  <dcterms:modified xsi:type="dcterms:W3CDTF">2024-07-15T09:57:39Z</dcterms:modified>
</cp:coreProperties>
</file>