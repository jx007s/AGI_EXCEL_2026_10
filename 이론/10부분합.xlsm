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이론\"/>
    </mc:Choice>
  </mc:AlternateContent>
  <xr:revisionPtr revIDLastSave="0" documentId="13_ncr:1_{FDE83B0E-1865-4FA4-BB17-FA12C856E8FE}" xr6:coauthVersionLast="47" xr6:coauthVersionMax="47" xr10:uidLastSave="{00000000-0000-0000-0000-000000000000}"/>
  <bookViews>
    <workbookView xWindow="360" yWindow="1410" windowWidth="20520" windowHeight="17980" tabRatio="783" xr2:uid="{00000000-000D-0000-FFFF-FFFF00000000}"/>
  </bookViews>
  <sheets>
    <sheet name="부분합1" sheetId="4" r:id="rId1"/>
    <sheet name="부분합1(결과)" sheetId="7" r:id="rId2"/>
    <sheet name="부분합2" sheetId="5" r:id="rId3"/>
    <sheet name="부분합2(결과)" sheetId="8" r:id="rId4"/>
    <sheet name="부분합3" sheetId="6" r:id="rId5"/>
    <sheet name="부분합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9" l="1"/>
  <c r="E15" i="9"/>
  <c r="E9" i="9"/>
  <c r="E22" i="9" s="1"/>
  <c r="D21" i="9"/>
  <c r="D16" i="9"/>
  <c r="D10" i="9"/>
  <c r="D23" i="9" s="1"/>
  <c r="E17" i="8"/>
  <c r="D17" i="8"/>
  <c r="C17" i="8"/>
  <c r="E12" i="8"/>
  <c r="D12" i="8"/>
  <c r="C12" i="8"/>
  <c r="E7" i="8"/>
  <c r="E19" i="8" s="1"/>
  <c r="D7" i="8"/>
  <c r="D19" i="8" s="1"/>
  <c r="C7" i="8"/>
  <c r="C19" i="8" s="1"/>
  <c r="F18" i="8"/>
  <c r="F13" i="8"/>
  <c r="F8" i="8"/>
  <c r="F20" i="8" s="1"/>
  <c r="E22" i="7"/>
  <c r="D22" i="7"/>
  <c r="E16" i="7"/>
  <c r="D16" i="7"/>
  <c r="E9" i="7"/>
  <c r="E24" i="7" s="1"/>
  <c r="D9" i="7"/>
  <c r="D24" i="7" s="1"/>
  <c r="F11" i="8"/>
  <c r="F6" i="8"/>
  <c r="F5" i="8"/>
  <c r="F4" i="8"/>
  <c r="F16" i="8"/>
  <c r="F10" i="8"/>
  <c r="F15" i="8"/>
  <c r="F14" i="8"/>
  <c r="F9" i="8"/>
  <c r="H20" i="7"/>
  <c r="H14" i="7"/>
  <c r="H7" i="7"/>
  <c r="H13" i="7"/>
  <c r="H19" i="7"/>
  <c r="H6" i="7"/>
  <c r="H18" i="7"/>
  <c r="H12" i="7"/>
  <c r="H11" i="7"/>
  <c r="H5" i="7"/>
  <c r="H17" i="7"/>
  <c r="H21" i="7" s="1"/>
  <c r="H4" i="7"/>
  <c r="H10" i="7"/>
  <c r="H15" i="7" s="1"/>
  <c r="F12" i="5"/>
  <c r="F11" i="5"/>
  <c r="F10" i="5"/>
  <c r="F9" i="5"/>
  <c r="F8" i="5"/>
  <c r="F7" i="5"/>
  <c r="F6" i="5"/>
  <c r="F5" i="5"/>
  <c r="F4" i="5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23" i="7" l="1"/>
  <c r="H8" i="7"/>
</calcChain>
</file>

<file path=xl/sharedStrings.xml><?xml version="1.0" encoding="utf-8"?>
<sst xmlns="http://schemas.openxmlformats.org/spreadsheetml/2006/main" count="280" uniqueCount="116">
  <si>
    <t>[표1] 영진대학교 프로그래밍 성적처리</t>
    <phoneticPr fontId="2" type="noConversion"/>
  </si>
  <si>
    <t>학번</t>
    <phoneticPr fontId="2" type="noConversion"/>
  </si>
  <si>
    <t>학과</t>
    <phoneticPr fontId="2" type="noConversion"/>
  </si>
  <si>
    <t>이름</t>
    <phoneticPr fontId="2" type="noConversion"/>
  </si>
  <si>
    <t>출석</t>
    <phoneticPr fontId="2" type="noConversion"/>
  </si>
  <si>
    <t>평소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</si>
  <si>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</si>
  <si>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</si>
  <si>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</si>
  <si>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M110456</t>
    <phoneticPr fontId="2" type="noConversion"/>
  </si>
  <si>
    <t>멀티미디어과</t>
    <phoneticPr fontId="2" type="noConversion"/>
  </si>
  <si>
    <t>김진영</t>
  </si>
  <si>
    <t>S121340</t>
    <phoneticPr fontId="2" type="noConversion"/>
  </si>
  <si>
    <t>소프트웨어과</t>
    <phoneticPr fontId="2" type="noConversion"/>
  </si>
  <si>
    <t>박진수</t>
    <phoneticPr fontId="2" type="noConversion"/>
  </si>
  <si>
    <t>N132056</t>
    <phoneticPr fontId="2" type="noConversion"/>
  </si>
  <si>
    <t>네트워크과</t>
    <phoneticPr fontId="2" type="noConversion"/>
  </si>
  <si>
    <t>이택준</t>
    <phoneticPr fontId="2" type="noConversion"/>
  </si>
  <si>
    <t>S145628</t>
    <phoneticPr fontId="2" type="noConversion"/>
  </si>
  <si>
    <t>김창희</t>
    <phoneticPr fontId="2" type="noConversion"/>
  </si>
  <si>
    <t>M123460</t>
    <phoneticPr fontId="2" type="noConversion"/>
  </si>
  <si>
    <t>최만중</t>
    <phoneticPr fontId="2" type="noConversion"/>
  </si>
  <si>
    <t>M140632</t>
    <phoneticPr fontId="2" type="noConversion"/>
  </si>
  <si>
    <t>전태호</t>
    <phoneticPr fontId="2" type="noConversion"/>
  </si>
  <si>
    <t>N126354</t>
    <phoneticPr fontId="2" type="noConversion"/>
  </si>
  <si>
    <t>장호영</t>
    <phoneticPr fontId="2" type="noConversion"/>
  </si>
  <si>
    <t>S130215</t>
    <phoneticPr fontId="2" type="noConversion"/>
  </si>
  <si>
    <t>민경배</t>
    <phoneticPr fontId="2" type="noConversion"/>
  </si>
  <si>
    <t>N101253</t>
    <phoneticPr fontId="2" type="noConversion"/>
  </si>
  <si>
    <t>강달호</t>
  </si>
  <si>
    <t>M133625</t>
    <phoneticPr fontId="2" type="noConversion"/>
  </si>
  <si>
    <t>임홍수</t>
    <phoneticPr fontId="2" type="noConversion"/>
  </si>
  <si>
    <t>S123056</t>
    <phoneticPr fontId="2" type="noConversion"/>
  </si>
  <si>
    <t>유인형</t>
  </si>
  <si>
    <t>M150207</t>
    <phoneticPr fontId="2" type="noConversion"/>
  </si>
  <si>
    <t>전인주</t>
  </si>
  <si>
    <t>N132416</t>
    <phoneticPr fontId="2" type="noConversion"/>
  </si>
  <si>
    <t>황인범</t>
  </si>
  <si>
    <t>소양인증포인트 현황</t>
    <phoneticPr fontId="2" type="noConversion"/>
  </si>
  <si>
    <t>성명</t>
    <phoneticPr fontId="2" type="noConversion"/>
  </si>
  <si>
    <t>기본영역</t>
    <phoneticPr fontId="2" type="noConversion"/>
  </si>
  <si>
    <t>인성봉사</t>
    <phoneticPr fontId="2" type="noConversion"/>
  </si>
  <si>
    <t>교육훈련</t>
    <phoneticPr fontId="2" type="noConversion"/>
  </si>
  <si>
    <t>합계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</si>
  <si>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</si>
  <si>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</si>
  <si>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</si>
  <si>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</si>
  <si>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박주영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</si>
  <si>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</si>
  <si>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</si>
  <si>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</si>
  <si>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</si>
  <si>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</si>
  <si>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</si>
  <si>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</si>
  <si>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상공 문화센터 수강 현황</t>
    <phoneticPr fontId="2" type="noConversion"/>
  </si>
  <si>
    <t>구분</t>
    <phoneticPr fontId="2" type="noConversion"/>
  </si>
  <si>
    <t>수강명</t>
    <phoneticPr fontId="2" type="noConversion"/>
  </si>
  <si>
    <t>강사명</t>
    <phoneticPr fontId="2" type="noConversion"/>
  </si>
  <si>
    <t>수강료</t>
    <phoneticPr fontId="2" type="noConversion"/>
  </si>
  <si>
    <t>모집인원</t>
    <phoneticPr fontId="2" type="noConversion"/>
  </si>
  <si>
    <t>수강요일</t>
    <phoneticPr fontId="2" type="noConversion"/>
  </si>
  <si>
    <t>유아</t>
    <phoneticPr fontId="2" type="noConversion"/>
  </si>
  <si>
    <t>우리아이오감만족</t>
    <phoneticPr fontId="2" type="noConversion"/>
  </si>
  <si>
    <t>정재성</t>
    <phoneticPr fontId="2" type="noConversion"/>
  </si>
  <si>
    <r>
      <t>월,</t>
    </r>
    <r>
      <rPr>
        <sz val="11"/>
        <color theme="1"/>
        <rFont val="맑은 고딕"/>
        <family val="2"/>
        <charset val="129"/>
        <scheme val="minor"/>
      </rPr>
      <t xml:space="preserve"> 수</t>
    </r>
    <phoneticPr fontId="2" type="noConversion"/>
  </si>
  <si>
    <t>성인</t>
    <phoneticPr fontId="2" type="noConversion"/>
  </si>
  <si>
    <t>우리집밥교실</t>
    <phoneticPr fontId="2" type="noConversion"/>
  </si>
  <si>
    <t>이동욱</t>
    <phoneticPr fontId="2" type="noConversion"/>
  </si>
  <si>
    <t>목</t>
    <phoneticPr fontId="2" type="noConversion"/>
  </si>
  <si>
    <t>초등</t>
    <phoneticPr fontId="2" type="noConversion"/>
  </si>
  <si>
    <t>재밌는역사교실</t>
    <phoneticPr fontId="2" type="noConversion"/>
  </si>
  <si>
    <t>한경영</t>
    <phoneticPr fontId="2" type="noConversion"/>
  </si>
  <si>
    <r>
      <t>화,</t>
    </r>
    <r>
      <rPr>
        <sz val="11"/>
        <color theme="1"/>
        <rFont val="맑은 고딕"/>
        <family val="2"/>
        <charset val="129"/>
        <scheme val="minor"/>
      </rPr>
      <t xml:space="preserve"> 목</t>
    </r>
    <phoneticPr fontId="2" type="noConversion"/>
  </si>
  <si>
    <t>쉽게배우는클래식</t>
    <phoneticPr fontId="2" type="noConversion"/>
  </si>
  <si>
    <t>최경화</t>
    <phoneticPr fontId="2" type="noConversion"/>
  </si>
  <si>
    <t>어린이뮤지컬스쿨</t>
    <phoneticPr fontId="2" type="noConversion"/>
  </si>
  <si>
    <t>조인성</t>
    <phoneticPr fontId="2" type="noConversion"/>
  </si>
  <si>
    <t>미술마술</t>
    <phoneticPr fontId="2" type="noConversion"/>
  </si>
  <si>
    <t>황희율</t>
    <phoneticPr fontId="2" type="noConversion"/>
  </si>
  <si>
    <t>스위트바이올린</t>
    <phoneticPr fontId="2" type="noConversion"/>
  </si>
  <si>
    <t>강선영</t>
    <phoneticPr fontId="2" type="noConversion"/>
  </si>
  <si>
    <r>
      <t>수,</t>
    </r>
    <r>
      <rPr>
        <sz val="11"/>
        <color theme="1"/>
        <rFont val="맑은 고딕"/>
        <family val="2"/>
        <charset val="129"/>
        <scheme val="minor"/>
      </rPr>
      <t xml:space="preserve"> 금</t>
    </r>
    <phoneticPr fontId="2" type="noConversion"/>
  </si>
  <si>
    <t>귀가트이는영어</t>
    <phoneticPr fontId="2" type="noConversion"/>
  </si>
  <si>
    <t>김수지</t>
    <phoneticPr fontId="2" type="noConversion"/>
  </si>
  <si>
    <t>리듬체조튼튼</t>
    <phoneticPr fontId="2" type="noConversion"/>
  </si>
  <si>
    <t>유정은</t>
    <phoneticPr fontId="2" type="noConversion"/>
  </si>
  <si>
    <t>목요캘리그라피</t>
    <phoneticPr fontId="2" type="noConversion"/>
  </si>
  <si>
    <t>민기성</t>
    <phoneticPr fontId="2" type="noConversion"/>
  </si>
  <si>
    <t>뒤뚱뒤뚱놀이교실</t>
    <phoneticPr fontId="2" type="noConversion"/>
  </si>
  <si>
    <t>이주원</t>
    <phoneticPr fontId="2" type="noConversion"/>
  </si>
  <si>
    <t>할수있다요가교실</t>
    <phoneticPr fontId="2" type="noConversion"/>
  </si>
  <si>
    <t>전희윤</t>
    <phoneticPr fontId="2" type="noConversion"/>
  </si>
  <si>
    <t>소프트웨어과 평균</t>
  </si>
  <si>
    <t>멀티미디어과 평균</t>
  </si>
  <si>
    <t>네트워크과 평균</t>
  </si>
  <si>
    <t>전체 평균</t>
  </si>
  <si>
    <t>전체 최대값</t>
  </si>
  <si>
    <t>전체 최소값</t>
  </si>
  <si>
    <t>경영정보 평균</t>
  </si>
  <si>
    <t>유아교육 평균</t>
  </si>
  <si>
    <t>정보통신 평균</t>
  </si>
  <si>
    <t>성인 평균</t>
  </si>
  <si>
    <t>유아 평균</t>
  </si>
  <si>
    <t>초등 평균</t>
  </si>
  <si>
    <t>총합계</t>
  </si>
  <si>
    <t>성인 합계</t>
  </si>
  <si>
    <t>유아 합계</t>
  </si>
  <si>
    <t>초등 합계</t>
  </si>
  <si>
    <t>소프트웨어과 최대</t>
  </si>
  <si>
    <t>멀티미디어과 최대</t>
  </si>
  <si>
    <t>네트워크과 최대</t>
  </si>
  <si>
    <t>경영정보 최소</t>
  </si>
  <si>
    <t>유아교육 최소</t>
  </si>
  <si>
    <t>정보통신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</si>
</sst>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.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41" fontId="1" fillId="0" borderId="1" xfId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top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1" fillId="0" borderId="0" xfId="3" applyBorder="1" applyAlignment="1">
      <alignment horizontal="center" vertical="center"/>
    </xf>
    <xf numFmtId="0" fontId="0" fillId="0" borderId="0" xfId="3" applyFont="1" applyBorder="1" applyAlignment="1">
      <alignment horizontal="center" vertical="center"/>
    </xf>
    <xf numFmtId="41" fontId="1" fillId="0" borderId="0" xfId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71944E-B87F-4806-B91E-966D3003B9DF}" name="표1" displayName="표1" ref="A3:F20" totalsRowShown="0" headerRowDxfId="8" dataDxfId="6" headerRowBorderDxfId="7" tableBorderDxfId="5" dataCellStyle="쉼표 [0]">
  <autoFilter ref="A3:F20" xr:uid="{B171944E-B87F-4806-B91E-966D3003B9DF}"/>
  <tableColumns count="6">
    <tableColumn id="1" xr3:uid="{06A3C791-E368-4BF4-98F0-B680B9DDAF83}" name="학과" dataDxfId="4"/>
    <tableColumn id="2" xr3:uid="{ADCB26CC-003D-4907-B228-A532182E143F}" name="성명" dataDxfId="3"/>
    <tableColumn id="3" xr3:uid="{BA0D7016-27A5-4C65-9CA2-EF252BF32EE2}" name="기본영역"/>
    <tableColumn id="4" xr3:uid="{748935C2-B550-4BEF-98AC-9CA409CC5BE8}" name="인성봉사" dataDxfId="2" dataCellStyle="쉼표 [0]"/>
    <tableColumn id="5" xr3:uid="{DDA2A8C9-6173-455A-A7CD-3F2967E8DF9B}" name="교육훈련" dataDxfId="1" dataCellStyle="쉼표 [0]"/>
    <tableColumn id="6" xr3:uid="{A85926BA-1B61-46FD-AEA2-B3EFBA7CD02B}" name="합계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6"/>
  <sheetViews>
    <sheetView tabSelected="1" workbookViewId="0"/>
  </sheetViews>
  <sheetFormatPr defaultRowHeight="17" x14ac:dyDescent="0.45"/>
  <cols>
    <col min="2" max="2" width="13" bestFit="1" customWidth="1"/>
  </cols>
  <sheetData>
    <row r="1" spans="1:8" x14ac:dyDescent="0.45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x14ac:dyDescent="0.45">
      <c r="A4" s="2" t="s">
        <v>9</v>
      </c>
      <c r="B4" s="2" t="s">
        <v>10</v>
      </c>
      <c r="C4" s="2" t="s">
        <v>11</v>
      </c>
      <c r="D4" s="2">
        <v>17</v>
      </c>
      <c r="E4" s="2">
        <v>16</v>
      </c>
      <c r="F4" s="2">
        <v>28</v>
      </c>
      <c r="G4" s="2">
        <v>24</v>
      </c>
      <c r="H4" s="2">
        <f>SUM(D4:G4)</f>
        <v>85</v>
      </c>
    </row>
    <row r="5" spans="1:8" x14ac:dyDescent="0.45">
      <c r="A5" s="2" t="s">
        <v>12</v>
      </c>
      <c r="B5" s="2" t="s">
        <v>13</v>
      </c>
      <c r="C5" s="2" t="s">
        <v>14</v>
      </c>
      <c r="D5" s="2">
        <v>15</v>
      </c>
      <c r="E5" s="2">
        <v>16</v>
      </c>
      <c r="F5" s="2">
        <v>25</v>
      </c>
      <c r="G5" s="2">
        <v>26</v>
      </c>
      <c r="H5" s="2">
        <f t="shared" ref="H5:H16" si="0">SUM(D5:G5)</f>
        <v>82</v>
      </c>
    </row>
    <row r="6" spans="1:8" x14ac:dyDescent="0.45">
      <c r="A6" s="2" t="s">
        <v>15</v>
      </c>
      <c r="B6" s="2" t="s">
        <v>16</v>
      </c>
      <c r="C6" s="2" t="s">
        <v>17</v>
      </c>
      <c r="D6" s="2">
        <v>12</v>
      </c>
      <c r="E6" s="2">
        <v>13</v>
      </c>
      <c r="F6" s="2">
        <v>21</v>
      </c>
      <c r="G6" s="2">
        <v>23</v>
      </c>
      <c r="H6" s="2">
        <f t="shared" si="0"/>
        <v>69</v>
      </c>
    </row>
    <row r="7" spans="1:8" x14ac:dyDescent="0.45">
      <c r="A7" s="2" t="s">
        <v>18</v>
      </c>
      <c r="B7" s="2" t="s">
        <v>13</v>
      </c>
      <c r="C7" s="2" t="s">
        <v>19</v>
      </c>
      <c r="D7" s="2">
        <v>20</v>
      </c>
      <c r="E7" s="2">
        <v>19</v>
      </c>
      <c r="F7" s="2">
        <v>29</v>
      </c>
      <c r="G7" s="2">
        <v>27</v>
      </c>
      <c r="H7" s="2">
        <f t="shared" si="0"/>
        <v>95</v>
      </c>
    </row>
    <row r="8" spans="1:8" x14ac:dyDescent="0.45">
      <c r="A8" s="2" t="s">
        <v>20</v>
      </c>
      <c r="B8" s="2" t="s">
        <v>10</v>
      </c>
      <c r="C8" s="2" t="s">
        <v>21</v>
      </c>
      <c r="D8" s="2">
        <v>19</v>
      </c>
      <c r="E8" s="2">
        <v>19</v>
      </c>
      <c r="F8" s="2">
        <v>26</v>
      </c>
      <c r="G8" s="2">
        <v>28</v>
      </c>
      <c r="H8" s="2">
        <f t="shared" si="0"/>
        <v>92</v>
      </c>
    </row>
    <row r="9" spans="1:8" x14ac:dyDescent="0.45">
      <c r="A9" s="2" t="s">
        <v>22</v>
      </c>
      <c r="B9" s="2" t="s">
        <v>10</v>
      </c>
      <c r="C9" s="2" t="s">
        <v>23</v>
      </c>
      <c r="D9" s="2">
        <v>16</v>
      </c>
      <c r="E9" s="2">
        <v>17</v>
      </c>
      <c r="F9" s="2">
        <v>23</v>
      </c>
      <c r="G9" s="2">
        <v>21</v>
      </c>
      <c r="H9" s="2">
        <f t="shared" si="0"/>
        <v>77</v>
      </c>
    </row>
    <row r="10" spans="1:8" x14ac:dyDescent="0.45">
      <c r="A10" s="2" t="s">
        <v>24</v>
      </c>
      <c r="B10" s="2" t="s">
        <v>16</v>
      </c>
      <c r="C10" s="2" t="s">
        <v>25</v>
      </c>
      <c r="D10" s="2">
        <v>19</v>
      </c>
      <c r="E10" s="2">
        <v>18</v>
      </c>
      <c r="F10" s="2">
        <v>27</v>
      </c>
      <c r="G10" s="2">
        <v>26</v>
      </c>
      <c r="H10" s="2">
        <f t="shared" si="0"/>
        <v>90</v>
      </c>
    </row>
    <row r="11" spans="1:8" x14ac:dyDescent="0.45">
      <c r="A11" s="2" t="s">
        <v>26</v>
      </c>
      <c r="B11" s="2" t="s">
        <v>13</v>
      </c>
      <c r="C11" s="2" t="s">
        <v>27</v>
      </c>
      <c r="D11" s="2">
        <v>14</v>
      </c>
      <c r="E11" s="2">
        <v>13</v>
      </c>
      <c r="F11" s="2">
        <v>18</v>
      </c>
      <c r="G11" s="2">
        <v>20</v>
      </c>
      <c r="H11" s="2">
        <f t="shared" si="0"/>
        <v>65</v>
      </c>
    </row>
    <row r="12" spans="1:8" x14ac:dyDescent="0.45">
      <c r="A12" s="2" t="s">
        <v>28</v>
      </c>
      <c r="B12" s="2" t="s">
        <v>16</v>
      </c>
      <c r="C12" s="2" t="s">
        <v>29</v>
      </c>
      <c r="D12" s="2">
        <v>12</v>
      </c>
      <c r="E12" s="2">
        <v>10</v>
      </c>
      <c r="F12" s="2">
        <v>15</v>
      </c>
      <c r="G12" s="2">
        <v>18</v>
      </c>
      <c r="H12" s="2">
        <f t="shared" si="0"/>
        <v>55</v>
      </c>
    </row>
    <row r="13" spans="1:8" x14ac:dyDescent="0.45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 t="shared" si="0"/>
        <v>73</v>
      </c>
    </row>
    <row r="14" spans="1:8" x14ac:dyDescent="0.45">
      <c r="A14" s="2" t="s">
        <v>32</v>
      </c>
      <c r="B14" s="2" t="s">
        <v>13</v>
      </c>
      <c r="C14" s="2" t="s">
        <v>33</v>
      </c>
      <c r="D14" s="2">
        <v>15</v>
      </c>
      <c r="E14" s="2">
        <v>18</v>
      </c>
      <c r="F14" s="2">
        <v>20</v>
      </c>
      <c r="G14" s="2">
        <v>17</v>
      </c>
      <c r="H14" s="2">
        <f t="shared" si="0"/>
        <v>70</v>
      </c>
    </row>
    <row r="15" spans="1:8" x14ac:dyDescent="0.45">
      <c r="A15" s="2" t="s">
        <v>34</v>
      </c>
      <c r="B15" s="2" t="s">
        <v>10</v>
      </c>
      <c r="C15" s="2" t="s">
        <v>35</v>
      </c>
      <c r="D15" s="2">
        <v>18</v>
      </c>
      <c r="E15" s="2">
        <v>17</v>
      </c>
      <c r="F15" s="2">
        <v>24</v>
      </c>
      <c r="G15" s="2">
        <v>21</v>
      </c>
      <c r="H15" s="2">
        <f t="shared" si="0"/>
        <v>80</v>
      </c>
    </row>
    <row r="16" spans="1:8" x14ac:dyDescent="0.45">
      <c r="A16" s="2" t="s">
        <v>36</v>
      </c>
      <c r="B16" s="2" t="s">
        <v>16</v>
      </c>
      <c r="C16" s="2" t="s">
        <v>37</v>
      </c>
      <c r="D16" s="2">
        <v>17</v>
      </c>
      <c r="E16" s="2">
        <v>15</v>
      </c>
      <c r="F16" s="2">
        <v>22</v>
      </c>
      <c r="G16" s="2">
        <v>23</v>
      </c>
      <c r="H16" s="2">
        <f t="shared" si="0"/>
        <v>77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3B34-011F-4AD6-BEFE-1C76B47F4363}">
  <dimension ref="A1:H24"/>
  <sheetViews>
    <sheetView workbookViewId="0"/>
  </sheetViews>
  <sheetFormatPr defaultRowHeight="17" outlineLevelRow="3" x14ac:dyDescent="0.45"/>
  <cols>
    <col min="2" max="2" width="17.1640625" bestFit="1" customWidth="1"/>
  </cols>
  <sheetData>
    <row r="1" spans="1:8" x14ac:dyDescent="0.45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outlineLevel="3" x14ac:dyDescent="0.45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outlineLevel="3" x14ac:dyDescent="0.45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outlineLevel="3" x14ac:dyDescent="0.45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outlineLevel="3" x14ac:dyDescent="0.45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outlineLevel="2" x14ac:dyDescent="0.45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outlineLevel="1" x14ac:dyDescent="0.45">
      <c r="A9" s="2"/>
      <c r="B9" s="10" t="s">
        <v>94</v>
      </c>
      <c r="C9" s="2"/>
      <c r="D9" s="2">
        <f>SUBTOTAL(1,D4:D7)</f>
        <v>16</v>
      </c>
      <c r="E9" s="2">
        <f>SUBTOTAL(1,E4:E7)</f>
        <v>16.5</v>
      </c>
      <c r="F9" s="2"/>
      <c r="G9" s="2"/>
      <c r="H9" s="2"/>
    </row>
    <row r="10" spans="1:8" outlineLevel="3" x14ac:dyDescent="0.45">
      <c r="A10" s="2" t="s">
        <v>9</v>
      </c>
      <c r="B10" s="2" t="s">
        <v>10</v>
      </c>
      <c r="C10" s="2" t="s">
        <v>11</v>
      </c>
      <c r="D10" s="2">
        <v>17</v>
      </c>
      <c r="E10" s="2">
        <v>16</v>
      </c>
      <c r="F10" s="2">
        <v>28</v>
      </c>
      <c r="G10" s="2">
        <v>24</v>
      </c>
      <c r="H10" s="2">
        <f>SUM(D10:G10)</f>
        <v>85</v>
      </c>
    </row>
    <row r="11" spans="1:8" outlineLevel="3" x14ac:dyDescent="0.45">
      <c r="A11" s="2" t="s">
        <v>20</v>
      </c>
      <c r="B11" s="2" t="s">
        <v>10</v>
      </c>
      <c r="C11" s="2" t="s">
        <v>21</v>
      </c>
      <c r="D11" s="2">
        <v>19</v>
      </c>
      <c r="E11" s="2">
        <v>19</v>
      </c>
      <c r="F11" s="2">
        <v>26</v>
      </c>
      <c r="G11" s="2">
        <v>28</v>
      </c>
      <c r="H11" s="2">
        <f>SUM(D11:G11)</f>
        <v>92</v>
      </c>
    </row>
    <row r="12" spans="1:8" outlineLevel="3" x14ac:dyDescent="0.45">
      <c r="A12" s="2" t="s">
        <v>22</v>
      </c>
      <c r="B12" s="2" t="s">
        <v>10</v>
      </c>
      <c r="C12" s="2" t="s">
        <v>23</v>
      </c>
      <c r="D12" s="2">
        <v>16</v>
      </c>
      <c r="E12" s="2">
        <v>17</v>
      </c>
      <c r="F12" s="2">
        <v>23</v>
      </c>
      <c r="G12" s="2">
        <v>21</v>
      </c>
      <c r="H12" s="2">
        <f>SUM(D12:G12)</f>
        <v>77</v>
      </c>
    </row>
    <row r="13" spans="1:8" outlineLevel="3" x14ac:dyDescent="0.45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>SUM(D13:G13)</f>
        <v>73</v>
      </c>
    </row>
    <row r="14" spans="1:8" outlineLevel="3" x14ac:dyDescent="0.45">
      <c r="A14" s="2" t="s">
        <v>34</v>
      </c>
      <c r="B14" s="2" t="s">
        <v>10</v>
      </c>
      <c r="C14" s="2" t="s">
        <v>35</v>
      </c>
      <c r="D14" s="2">
        <v>18</v>
      </c>
      <c r="E14" s="2">
        <v>17</v>
      </c>
      <c r="F14" s="2">
        <v>24</v>
      </c>
      <c r="G14" s="2">
        <v>21</v>
      </c>
      <c r="H14" s="2">
        <f>SUM(D14:G14)</f>
        <v>80</v>
      </c>
    </row>
    <row r="15" spans="1:8" outlineLevel="2" x14ac:dyDescent="0.45">
      <c r="A15" s="2"/>
      <c r="B15" s="10" t="s">
        <v>111</v>
      </c>
      <c r="C15" s="2"/>
      <c r="D15" s="2"/>
      <c r="E15" s="2"/>
      <c r="F15" s="2"/>
      <c r="G15" s="2"/>
      <c r="H15" s="2">
        <f>SUBTOTAL(4,H10:H14)</f>
        <v>92</v>
      </c>
    </row>
    <row r="16" spans="1:8" outlineLevel="1" x14ac:dyDescent="0.45">
      <c r="A16" s="2"/>
      <c r="B16" s="10" t="s">
        <v>95</v>
      </c>
      <c r="C16" s="2"/>
      <c r="D16" s="2">
        <f>SUBTOTAL(1,D10:D14)</f>
        <v>17.2</v>
      </c>
      <c r="E16" s="2">
        <f>SUBTOTAL(1,E10:E14)</f>
        <v>17.2</v>
      </c>
      <c r="F16" s="2"/>
      <c r="G16" s="2"/>
      <c r="H16" s="2"/>
    </row>
    <row r="17" spans="1:8" outlineLevel="3" x14ac:dyDescent="0.45">
      <c r="A17" s="2" t="s">
        <v>15</v>
      </c>
      <c r="B17" s="2" t="s">
        <v>16</v>
      </c>
      <c r="C17" s="2" t="s">
        <v>17</v>
      </c>
      <c r="D17" s="2">
        <v>12</v>
      </c>
      <c r="E17" s="2">
        <v>13</v>
      </c>
      <c r="F17" s="2">
        <v>21</v>
      </c>
      <c r="G17" s="2">
        <v>23</v>
      </c>
      <c r="H17" s="2">
        <f>SUM(D17:G17)</f>
        <v>69</v>
      </c>
    </row>
    <row r="18" spans="1:8" outlineLevel="3" x14ac:dyDescent="0.45">
      <c r="A18" s="2" t="s">
        <v>24</v>
      </c>
      <c r="B18" s="2" t="s">
        <v>16</v>
      </c>
      <c r="C18" s="2" t="s">
        <v>25</v>
      </c>
      <c r="D18" s="2">
        <v>19</v>
      </c>
      <c r="E18" s="2">
        <v>18</v>
      </c>
      <c r="F18" s="2">
        <v>27</v>
      </c>
      <c r="G18" s="2">
        <v>26</v>
      </c>
      <c r="H18" s="2">
        <f>SUM(D18:G18)</f>
        <v>90</v>
      </c>
    </row>
    <row r="19" spans="1:8" outlineLevel="3" x14ac:dyDescent="0.45">
      <c r="A19" s="2" t="s">
        <v>28</v>
      </c>
      <c r="B19" s="2" t="s">
        <v>16</v>
      </c>
      <c r="C19" s="2" t="s">
        <v>29</v>
      </c>
      <c r="D19" s="2">
        <v>12</v>
      </c>
      <c r="E19" s="2">
        <v>10</v>
      </c>
      <c r="F19" s="2">
        <v>15</v>
      </c>
      <c r="G19" s="2">
        <v>18</v>
      </c>
      <c r="H19" s="2">
        <f>SUM(D19:G19)</f>
        <v>55</v>
      </c>
    </row>
    <row r="20" spans="1:8" outlineLevel="3" x14ac:dyDescent="0.45">
      <c r="A20" s="2" t="s">
        <v>36</v>
      </c>
      <c r="B20" s="2" t="s">
        <v>16</v>
      </c>
      <c r="C20" s="2" t="s">
        <v>37</v>
      </c>
      <c r="D20" s="2">
        <v>17</v>
      </c>
      <c r="E20" s="2">
        <v>15</v>
      </c>
      <c r="F20" s="2">
        <v>22</v>
      </c>
      <c r="G20" s="2">
        <v>23</v>
      </c>
      <c r="H20" s="2">
        <f>SUM(D20:G20)</f>
        <v>77</v>
      </c>
    </row>
    <row r="21" spans="1:8" outlineLevel="2" x14ac:dyDescent="0.45">
      <c r="A21" s="11"/>
      <c r="B21" s="12" t="s">
        <v>112</v>
      </c>
      <c r="C21" s="11"/>
      <c r="D21" s="11"/>
      <c r="E21" s="11"/>
      <c r="F21" s="11"/>
      <c r="G21" s="11"/>
      <c r="H21" s="11">
        <f>SUBTOTAL(4,H17:H20)</f>
        <v>90</v>
      </c>
    </row>
    <row r="22" spans="1:8" outlineLevel="1" x14ac:dyDescent="0.45">
      <c r="A22" s="11"/>
      <c r="B22" s="12" t="s">
        <v>96</v>
      </c>
      <c r="C22" s="11"/>
      <c r="D22" s="11">
        <f>SUBTOTAL(1,D17:D20)</f>
        <v>15</v>
      </c>
      <c r="E22" s="11">
        <f>SUBTOTAL(1,E17:E20)</f>
        <v>14</v>
      </c>
      <c r="F22" s="11"/>
      <c r="G22" s="11"/>
      <c r="H22" s="11"/>
    </row>
    <row r="23" spans="1:8" x14ac:dyDescent="0.45">
      <c r="A23" s="11"/>
      <c r="B23" s="12" t="s">
        <v>98</v>
      </c>
      <c r="C23" s="11"/>
      <c r="D23" s="11"/>
      <c r="E23" s="11"/>
      <c r="F23" s="11"/>
      <c r="G23" s="11"/>
      <c r="H23" s="11">
        <f>SUBTOTAL(4,H4:H20)</f>
        <v>95</v>
      </c>
    </row>
    <row r="24" spans="1:8" x14ac:dyDescent="0.45">
      <c r="A24" s="11"/>
      <c r="B24" s="12" t="s">
        <v>97</v>
      </c>
      <c r="C24" s="11"/>
      <c r="D24" s="11">
        <f>SUBTOTAL(1,D4:D20)</f>
        <v>16.153846153846153</v>
      </c>
      <c r="E24" s="11">
        <f>SUBTOTAL(1,E4:E20)</f>
        <v>16</v>
      </c>
      <c r="F24" s="11"/>
      <c r="G24" s="11"/>
      <c r="H24" s="11"/>
    </row>
  </sheetData>
  <sortState xmlns:xlrd2="http://schemas.microsoft.com/office/spreadsheetml/2017/richdata2" ref="A4:H20">
    <sortCondition descending="1" ref="B3:B20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2"/>
  <sheetViews>
    <sheetView workbookViewId="0"/>
  </sheetViews>
  <sheetFormatPr defaultRowHeight="17" x14ac:dyDescent="0.45"/>
  <sheetData>
    <row r="1" spans="1:6" ht="25.5" x14ac:dyDescent="0.45">
      <c r="A1" s="24" t="s">
        <v>38</v>
      </c>
      <c r="B1" s="24"/>
      <c r="C1" s="24"/>
      <c r="D1" s="24"/>
      <c r="E1" s="24"/>
      <c r="F1" s="24"/>
    </row>
    <row r="2" spans="1:6" x14ac:dyDescent="0.45">
      <c r="A2" s="3"/>
      <c r="B2" s="3"/>
      <c r="C2" s="3"/>
      <c r="D2" s="3"/>
      <c r="E2" s="3"/>
    </row>
    <row r="3" spans="1:6" x14ac:dyDescent="0.45">
      <c r="A3" s="2" t="s">
        <v>2</v>
      </c>
      <c r="B3" s="2" t="s">
        <v>39</v>
      </c>
      <c r="C3" s="2" t="s">
        <v>40</v>
      </c>
      <c r="D3" s="2" t="s">
        <v>41</v>
      </c>
      <c r="E3" s="2" t="s">
        <v>42</v>
      </c>
      <c r="F3" s="2" t="s">
        <v>43</v>
      </c>
    </row>
    <row r="4" spans="1:6" x14ac:dyDescent="0.45">
      <c r="A4" s="4" t="s">
        <v>44</v>
      </c>
      <c r="B4" s="2" t="s">
        <v>45</v>
      </c>
      <c r="C4" s="2">
        <v>95</v>
      </c>
      <c r="D4" s="5">
        <v>65</v>
      </c>
      <c r="E4" s="5">
        <v>65</v>
      </c>
      <c r="F4" s="5">
        <f t="shared" ref="F4:F12" si="0">SUM(C4:E4)</f>
        <v>225</v>
      </c>
    </row>
    <row r="5" spans="1:6" x14ac:dyDescent="0.45">
      <c r="A5" s="4" t="s">
        <v>46</v>
      </c>
      <c r="B5" s="2" t="s">
        <v>47</v>
      </c>
      <c r="C5" s="2">
        <v>95</v>
      </c>
      <c r="D5" s="5">
        <v>75</v>
      </c>
      <c r="E5" s="5">
        <v>95</v>
      </c>
      <c r="F5" s="5">
        <f t="shared" si="0"/>
        <v>265</v>
      </c>
    </row>
    <row r="6" spans="1:6" x14ac:dyDescent="0.45">
      <c r="A6" s="4" t="s">
        <v>46</v>
      </c>
      <c r="B6" s="2" t="s">
        <v>48</v>
      </c>
      <c r="C6" s="2">
        <v>85</v>
      </c>
      <c r="D6" s="5">
        <v>50</v>
      </c>
      <c r="E6" s="5">
        <v>80</v>
      </c>
      <c r="F6" s="5">
        <f t="shared" si="0"/>
        <v>215</v>
      </c>
    </row>
    <row r="7" spans="1:6" x14ac:dyDescent="0.45">
      <c r="A7" s="4" t="s">
        <v>44</v>
      </c>
      <c r="B7" s="2" t="s">
        <v>49</v>
      </c>
      <c r="C7" s="2">
        <v>100</v>
      </c>
      <c r="D7" s="5">
        <v>90</v>
      </c>
      <c r="E7" s="5">
        <v>80</v>
      </c>
      <c r="F7" s="5">
        <f t="shared" si="0"/>
        <v>270</v>
      </c>
    </row>
    <row r="8" spans="1:6" x14ac:dyDescent="0.45">
      <c r="A8" s="4" t="s">
        <v>46</v>
      </c>
      <c r="B8" s="2" t="s">
        <v>50</v>
      </c>
      <c r="C8" s="2">
        <v>90</v>
      </c>
      <c r="D8" s="5">
        <v>80</v>
      </c>
      <c r="E8" s="5">
        <v>60</v>
      </c>
      <c r="F8" s="5">
        <f t="shared" si="0"/>
        <v>230</v>
      </c>
    </row>
    <row r="9" spans="1:6" x14ac:dyDescent="0.45">
      <c r="A9" s="4" t="s">
        <v>51</v>
      </c>
      <c r="B9" s="2" t="s">
        <v>52</v>
      </c>
      <c r="C9" s="2">
        <v>85</v>
      </c>
      <c r="D9" s="5">
        <v>75</v>
      </c>
      <c r="E9" s="5">
        <v>75</v>
      </c>
      <c r="F9" s="5">
        <f t="shared" si="0"/>
        <v>235</v>
      </c>
    </row>
    <row r="10" spans="1:6" x14ac:dyDescent="0.45">
      <c r="A10" s="4" t="s">
        <v>51</v>
      </c>
      <c r="B10" s="2" t="s">
        <v>53</v>
      </c>
      <c r="C10" s="2">
        <v>85</v>
      </c>
      <c r="D10" s="5">
        <v>85</v>
      </c>
      <c r="E10" s="5">
        <v>75</v>
      </c>
      <c r="F10" s="5">
        <f t="shared" si="0"/>
        <v>245</v>
      </c>
    </row>
    <row r="11" spans="1:6" x14ac:dyDescent="0.45">
      <c r="A11" s="4" t="s">
        <v>51</v>
      </c>
      <c r="B11" s="2" t="s">
        <v>54</v>
      </c>
      <c r="C11" s="2">
        <v>90</v>
      </c>
      <c r="D11" s="5">
        <v>70</v>
      </c>
      <c r="E11" s="5">
        <v>85</v>
      </c>
      <c r="F11" s="5">
        <f t="shared" si="0"/>
        <v>245</v>
      </c>
    </row>
    <row r="12" spans="1:6" x14ac:dyDescent="0.45">
      <c r="A12" s="4" t="s">
        <v>44</v>
      </c>
      <c r="B12" s="2" t="s">
        <v>55</v>
      </c>
      <c r="C12" s="2">
        <v>80</v>
      </c>
      <c r="D12" s="5">
        <v>70</v>
      </c>
      <c r="E12" s="5">
        <v>90</v>
      </c>
      <c r="F12" s="5">
        <f t="shared" si="0"/>
        <v>240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B357-7D0A-42A5-A69A-6D522D8DA6E1}">
  <dimension ref="A1:F20"/>
  <sheetViews>
    <sheetView workbookViewId="0"/>
  </sheetViews>
  <sheetFormatPr defaultRowHeight="17" outlineLevelRow="3" x14ac:dyDescent="0.45"/>
  <cols>
    <col min="1" max="1" width="13.25" bestFit="1" customWidth="1"/>
    <col min="3" max="5" width="9.9140625" customWidth="1"/>
  </cols>
  <sheetData>
    <row r="1" spans="1:6" ht="25.5" x14ac:dyDescent="0.45">
      <c r="A1" s="24" t="s">
        <v>38</v>
      </c>
      <c r="B1" s="24"/>
      <c r="C1" s="24"/>
      <c r="D1" s="24"/>
      <c r="E1" s="24"/>
      <c r="F1" s="24"/>
    </row>
    <row r="2" spans="1:6" x14ac:dyDescent="0.45">
      <c r="A2" s="3"/>
      <c r="B2" s="3"/>
      <c r="C2" s="3"/>
      <c r="D2" s="3"/>
      <c r="E2" s="3"/>
    </row>
    <row r="3" spans="1:6" x14ac:dyDescent="0.45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45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45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45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45">
      <c r="A7" s="13" t="s">
        <v>100</v>
      </c>
      <c r="B7" s="2"/>
      <c r="C7" s="1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45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45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45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45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45">
      <c r="A12" s="13" t="s">
        <v>101</v>
      </c>
      <c r="B12" s="2"/>
      <c r="C12" s="1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45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45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45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45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45">
      <c r="A17" s="15" t="s">
        <v>102</v>
      </c>
      <c r="B17" s="11"/>
      <c r="C17" s="17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45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45">
      <c r="A19" s="15" t="s">
        <v>97</v>
      </c>
      <c r="B19" s="11"/>
      <c r="C19" s="1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45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5"/>
  <sheetViews>
    <sheetView workbookViewId="0"/>
  </sheetViews>
  <sheetFormatPr defaultRowHeight="17" x14ac:dyDescent="0.45"/>
  <cols>
    <col min="2" max="2" width="17.25" bestFit="1" customWidth="1"/>
  </cols>
  <sheetData>
    <row r="1" spans="1:6" ht="21" x14ac:dyDescent="0.45">
      <c r="A1" s="25" t="s">
        <v>56</v>
      </c>
      <c r="B1" s="25"/>
      <c r="C1" s="25"/>
      <c r="D1" s="25"/>
      <c r="E1" s="25"/>
      <c r="F1" s="25"/>
    </row>
    <row r="2" spans="1:6" x14ac:dyDescent="0.45">
      <c r="A2" s="6"/>
      <c r="B2" s="6"/>
      <c r="C2" s="6"/>
      <c r="D2" s="6"/>
      <c r="E2" s="6"/>
      <c r="F2" s="6"/>
    </row>
    <row r="3" spans="1:6" x14ac:dyDescent="0.45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x14ac:dyDescent="0.45">
      <c r="A4" s="7" t="s">
        <v>63</v>
      </c>
      <c r="B4" s="7" t="s">
        <v>64</v>
      </c>
      <c r="C4" s="8" t="s">
        <v>65</v>
      </c>
      <c r="D4" s="9">
        <v>45000</v>
      </c>
      <c r="E4" s="7">
        <v>20</v>
      </c>
      <c r="F4" s="8" t="s">
        <v>66</v>
      </c>
    </row>
    <row r="5" spans="1:6" x14ac:dyDescent="0.45">
      <c r="A5" s="7" t="s">
        <v>67</v>
      </c>
      <c r="B5" s="7" t="s">
        <v>68</v>
      </c>
      <c r="C5" s="8" t="s">
        <v>69</v>
      </c>
      <c r="D5" s="9">
        <v>55000</v>
      </c>
      <c r="E5" s="7">
        <v>18</v>
      </c>
      <c r="F5" s="8" t="s">
        <v>70</v>
      </c>
    </row>
    <row r="6" spans="1:6" x14ac:dyDescent="0.45">
      <c r="A6" s="7" t="s">
        <v>71</v>
      </c>
      <c r="B6" s="7" t="s">
        <v>72</v>
      </c>
      <c r="C6" s="8" t="s">
        <v>73</v>
      </c>
      <c r="D6" s="9">
        <v>50000</v>
      </c>
      <c r="E6" s="7">
        <v>22</v>
      </c>
      <c r="F6" s="8" t="s">
        <v>74</v>
      </c>
    </row>
    <row r="7" spans="1:6" x14ac:dyDescent="0.45">
      <c r="A7" s="7" t="s">
        <v>67</v>
      </c>
      <c r="B7" s="7" t="s">
        <v>75</v>
      </c>
      <c r="C7" s="8" t="s">
        <v>76</v>
      </c>
      <c r="D7" s="9">
        <v>57000</v>
      </c>
      <c r="E7" s="7">
        <v>25</v>
      </c>
      <c r="F7" s="8" t="s">
        <v>70</v>
      </c>
    </row>
    <row r="8" spans="1:6" x14ac:dyDescent="0.45">
      <c r="A8" s="7" t="s">
        <v>71</v>
      </c>
      <c r="B8" s="7" t="s">
        <v>77</v>
      </c>
      <c r="C8" s="8" t="s">
        <v>78</v>
      </c>
      <c r="D8" s="9">
        <v>55000</v>
      </c>
      <c r="E8" s="7">
        <v>20</v>
      </c>
      <c r="F8" s="8" t="s">
        <v>74</v>
      </c>
    </row>
    <row r="9" spans="1:6" x14ac:dyDescent="0.45">
      <c r="A9" s="7" t="s">
        <v>63</v>
      </c>
      <c r="B9" s="7" t="s">
        <v>79</v>
      </c>
      <c r="C9" s="8" t="s">
        <v>80</v>
      </c>
      <c r="D9" s="9">
        <v>42000</v>
      </c>
      <c r="E9" s="7">
        <v>16</v>
      </c>
      <c r="F9" s="8" t="s">
        <v>66</v>
      </c>
    </row>
    <row r="10" spans="1:6" x14ac:dyDescent="0.45">
      <c r="A10" s="7" t="s">
        <v>67</v>
      </c>
      <c r="B10" s="7" t="s">
        <v>81</v>
      </c>
      <c r="C10" s="8" t="s">
        <v>82</v>
      </c>
      <c r="D10" s="9">
        <v>60000</v>
      </c>
      <c r="E10" s="7">
        <v>18</v>
      </c>
      <c r="F10" s="8" t="s">
        <v>83</v>
      </c>
    </row>
    <row r="11" spans="1:6" x14ac:dyDescent="0.45">
      <c r="A11" s="7" t="s">
        <v>71</v>
      </c>
      <c r="B11" s="7" t="s">
        <v>84</v>
      </c>
      <c r="C11" s="8" t="s">
        <v>85</v>
      </c>
      <c r="D11" s="9">
        <v>45000</v>
      </c>
      <c r="E11" s="7">
        <v>20</v>
      </c>
      <c r="F11" s="8" t="s">
        <v>66</v>
      </c>
    </row>
    <row r="12" spans="1:6" x14ac:dyDescent="0.45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x14ac:dyDescent="0.45">
      <c r="A13" s="7" t="s">
        <v>67</v>
      </c>
      <c r="B13" s="7" t="s">
        <v>88</v>
      </c>
      <c r="C13" s="8" t="s">
        <v>89</v>
      </c>
      <c r="D13" s="9">
        <v>54000</v>
      </c>
      <c r="E13" s="7">
        <v>24</v>
      </c>
      <c r="F13" s="8" t="s">
        <v>70</v>
      </c>
    </row>
    <row r="14" spans="1:6" x14ac:dyDescent="0.45">
      <c r="A14" s="7" t="s">
        <v>63</v>
      </c>
      <c r="B14" s="7" t="s">
        <v>90</v>
      </c>
      <c r="C14" s="8" t="s">
        <v>91</v>
      </c>
      <c r="D14" s="9">
        <v>50000</v>
      </c>
      <c r="E14" s="7">
        <v>16</v>
      </c>
      <c r="F14" s="8" t="s">
        <v>83</v>
      </c>
    </row>
    <row r="15" spans="1:6" x14ac:dyDescent="0.45">
      <c r="A15" s="7" t="s">
        <v>67</v>
      </c>
      <c r="B15" s="7" t="s">
        <v>92</v>
      </c>
      <c r="C15" s="8" t="s">
        <v>93</v>
      </c>
      <c r="D15" s="9">
        <v>60000</v>
      </c>
      <c r="E15" s="7">
        <v>18</v>
      </c>
      <c r="F15" s="8" t="s">
        <v>66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35EE-4027-4CAB-B23E-7CE9A0E0F7A9}">
  <dimension ref="A1:F23"/>
  <sheetViews>
    <sheetView workbookViewId="0"/>
  </sheetViews>
  <sheetFormatPr defaultRowHeight="17" outlineLevelRow="3" x14ac:dyDescent="0.45"/>
  <cols>
    <col min="2" max="2" width="17.25" bestFit="1" customWidth="1"/>
  </cols>
  <sheetData>
    <row r="1" spans="1:6" ht="21" x14ac:dyDescent="0.45">
      <c r="A1" s="25" t="s">
        <v>56</v>
      </c>
      <c r="B1" s="25"/>
      <c r="C1" s="25"/>
      <c r="D1" s="25"/>
      <c r="E1" s="25"/>
      <c r="F1" s="25"/>
    </row>
    <row r="2" spans="1:6" x14ac:dyDescent="0.45">
      <c r="A2" s="6"/>
      <c r="B2" s="6"/>
      <c r="C2" s="6"/>
      <c r="D2" s="6"/>
      <c r="E2" s="6"/>
      <c r="F2" s="6"/>
    </row>
    <row r="3" spans="1:6" x14ac:dyDescent="0.45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45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45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45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45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45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45">
      <c r="A9" s="18" t="s">
        <v>107</v>
      </c>
      <c r="B9" s="7"/>
      <c r="C9" s="8"/>
      <c r="D9" s="9"/>
      <c r="E9" s="7">
        <f>SUBTOTAL(9,E4:E8)</f>
        <v>103</v>
      </c>
      <c r="F9" s="8"/>
    </row>
    <row r="10" spans="1:6" outlineLevel="1" x14ac:dyDescent="0.45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45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45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45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45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45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45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45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45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45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45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45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45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45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부분합1</vt:lpstr>
      <vt:lpstr>부분합1(결과)</vt:lpstr>
      <vt:lpstr>부분합2</vt:lpstr>
      <vt:lpstr>부분합2(결과)</vt:lpstr>
      <vt:lpstr>부분합3</vt:lpstr>
      <vt:lpstr>부분합3(결과)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2020-04-05T12:14:54Z</dcterms:created>
  <dcterms:modified xsi:type="dcterms:W3CDTF">2023-03-24T08:05:14Z</dcterms:modified>
</cp:coreProperties>
</file>