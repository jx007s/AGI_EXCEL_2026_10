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E:\영진(2025년)\2급\기본서\2025컴활2급\이론\"/>
    </mc:Choice>
  </mc:AlternateContent>
  <xr:revisionPtr revIDLastSave="0" documentId="13_ncr:1_{76981D51-2965-487D-A497-4DC9789ABD54}" xr6:coauthVersionLast="47" xr6:coauthVersionMax="47" xr10:uidLastSave="{00000000-0000-0000-0000-000000000000}"/>
  <bookViews>
    <workbookView xWindow="19770" yWindow="1770" windowWidth="21360" windowHeight="13245" tabRatio="877" xr2:uid="{9F8224EA-6291-48E1-9959-4FE36C2B9828}"/>
  </bookViews>
  <sheets>
    <sheet name="DMAX" sheetId="10" r:id="rId1"/>
    <sheet name="AVERAGE" sheetId="3" r:id="rId2"/>
    <sheet name="RANK" sheetId="7" r:id="rId3"/>
    <sheet name="MODE" sheetId="8" r:id="rId4"/>
    <sheet name="HLOOKUP" sheetId="4" r:id="rId5"/>
    <sheet name="MATCH" sheetId="2" r:id="rId6"/>
    <sheet name="HOUR" sheetId="5" r:id="rId7"/>
    <sheet name="WEEKDAY" sheetId="6" r:id="rId8"/>
    <sheet name="LEFT,MID" sheetId="1" r:id="rId9"/>
    <sheet name="OR" sheetId="9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1" i="10" l="1"/>
  <c r="C9" i="9"/>
  <c r="C8" i="9"/>
  <c r="C7" i="9"/>
  <c r="C6" i="9"/>
  <c r="C5" i="9"/>
  <c r="C4" i="9"/>
  <c r="C3" i="9"/>
  <c r="C12" i="8"/>
  <c r="C4" i="7"/>
  <c r="C5" i="7"/>
  <c r="C6" i="7"/>
  <c r="C7" i="7"/>
  <c r="C3" i="7"/>
  <c r="C7" i="6" l="1"/>
  <c r="C6" i="6"/>
  <c r="C5" i="6"/>
  <c r="C4" i="6"/>
  <c r="C3" i="6"/>
  <c r="D8" i="5"/>
  <c r="D7" i="5"/>
  <c r="D6" i="5"/>
  <c r="D5" i="5"/>
  <c r="D4" i="5"/>
  <c r="D3" i="5"/>
  <c r="D4" i="4"/>
  <c r="D5" i="4"/>
  <c r="D6" i="4"/>
  <c r="D7" i="4"/>
  <c r="D8" i="4"/>
  <c r="D9" i="4"/>
  <c r="D3" i="4"/>
  <c r="E11" i="3"/>
  <c r="E10" i="3"/>
  <c r="E9" i="3"/>
  <c r="E8" i="3"/>
  <c r="E7" i="3"/>
  <c r="E6" i="3"/>
  <c r="E5" i="3"/>
  <c r="E4" i="3"/>
  <c r="E3" i="3"/>
  <c r="C11" i="2"/>
  <c r="C4" i="1"/>
  <c r="C5" i="1"/>
  <c r="C6" i="1"/>
  <c r="C7" i="1"/>
  <c r="C8" i="1"/>
  <c r="C9" i="1"/>
  <c r="C3" i="1"/>
</calcChain>
</file>

<file path=xl/sharedStrings.xml><?xml version="1.0" encoding="utf-8"?>
<sst xmlns="http://schemas.openxmlformats.org/spreadsheetml/2006/main" count="150" uniqueCount="102">
  <si>
    <t>학생명 성적</t>
    <phoneticPr fontId="3" type="noConversion"/>
  </si>
  <si>
    <t>&lt;학과표&gt;</t>
    <phoneticPr fontId="3" type="noConversion"/>
  </si>
  <si>
    <t>학번</t>
    <phoneticPr fontId="3" type="noConversion"/>
  </si>
  <si>
    <t>학생명</t>
    <phoneticPr fontId="3" type="noConversion"/>
  </si>
  <si>
    <t>학과</t>
    <phoneticPr fontId="3" type="noConversion"/>
  </si>
  <si>
    <t>학과번호</t>
    <phoneticPr fontId="3" type="noConversion"/>
  </si>
  <si>
    <t>유창상</t>
    <phoneticPr fontId="3" type="noConversion"/>
  </si>
  <si>
    <t>11</t>
    <phoneticPr fontId="3" type="noConversion"/>
  </si>
  <si>
    <t>AI융합</t>
    <phoneticPr fontId="3" type="noConversion"/>
  </si>
  <si>
    <t>김현수</t>
    <phoneticPr fontId="3" type="noConversion"/>
  </si>
  <si>
    <t>22</t>
    <phoneticPr fontId="3" type="noConversion"/>
  </si>
  <si>
    <t>소프트웨어</t>
    <phoneticPr fontId="3" type="noConversion"/>
  </si>
  <si>
    <t>한경수</t>
    <phoneticPr fontId="3" type="noConversion"/>
  </si>
  <si>
    <t>33</t>
    <phoneticPr fontId="3" type="noConversion"/>
  </si>
  <si>
    <t>글로벌미디어</t>
    <phoneticPr fontId="3" type="noConversion"/>
  </si>
  <si>
    <t>정수연</t>
    <phoneticPr fontId="3" type="noConversion"/>
  </si>
  <si>
    <t>최경철</t>
    <phoneticPr fontId="3" type="noConversion"/>
  </si>
  <si>
    <t>오태환</t>
    <phoneticPr fontId="3" type="noConversion"/>
  </si>
  <si>
    <t>임장미</t>
    <phoneticPr fontId="3" type="noConversion"/>
  </si>
  <si>
    <t>[표1]</t>
    <phoneticPr fontId="3" type="noConversion"/>
  </si>
  <si>
    <t>고객별 구입 현황</t>
    <phoneticPr fontId="3" type="noConversion"/>
  </si>
  <si>
    <t>고객명</t>
    <phoneticPr fontId="3" type="noConversion"/>
  </si>
  <si>
    <t>등급</t>
    <phoneticPr fontId="3" type="noConversion"/>
  </si>
  <si>
    <t>구입수량</t>
    <phoneticPr fontId="3" type="noConversion"/>
  </si>
  <si>
    <t>구입총액</t>
    <phoneticPr fontId="3" type="noConversion"/>
  </si>
  <si>
    <t>허영욱</t>
    <phoneticPr fontId="3" type="noConversion"/>
  </si>
  <si>
    <t>골드</t>
    <phoneticPr fontId="3" type="noConversion"/>
  </si>
  <si>
    <t>최주원</t>
    <phoneticPr fontId="3" type="noConversion"/>
  </si>
  <si>
    <t>일반</t>
    <phoneticPr fontId="3" type="noConversion"/>
  </si>
  <si>
    <t>이수학</t>
    <phoneticPr fontId="3" type="noConversion"/>
  </si>
  <si>
    <t>안혜경</t>
    <phoneticPr fontId="3" type="noConversion"/>
  </si>
  <si>
    <t>김신성</t>
    <phoneticPr fontId="3" type="noConversion"/>
  </si>
  <si>
    <t>VIP</t>
    <phoneticPr fontId="3" type="noConversion"/>
  </si>
  <si>
    <t>김태희</t>
    <phoneticPr fontId="3" type="noConversion"/>
  </si>
  <si>
    <t>선기섭</t>
    <phoneticPr fontId="3" type="noConversion"/>
  </si>
  <si>
    <t>정신영</t>
    <phoneticPr fontId="3" type="noConversion"/>
  </si>
  <si>
    <t>등급이 '골드'인 구입총액이 높은 고객</t>
    <phoneticPr fontId="3" type="noConversion"/>
  </si>
  <si>
    <t>성명</t>
    <phoneticPr fontId="3" type="noConversion"/>
  </si>
  <si>
    <t>수행평가1</t>
    <phoneticPr fontId="3" type="noConversion"/>
  </si>
  <si>
    <t>수행평가2</t>
    <phoneticPr fontId="3" type="noConversion"/>
  </si>
  <si>
    <t>수행평가3</t>
    <phoneticPr fontId="3" type="noConversion"/>
  </si>
  <si>
    <t>비고</t>
    <phoneticPr fontId="3" type="noConversion"/>
  </si>
  <si>
    <t>김미정</t>
    <phoneticPr fontId="3" type="noConversion"/>
  </si>
  <si>
    <t>서진수</t>
    <phoneticPr fontId="3" type="noConversion"/>
  </si>
  <si>
    <t>박주영</t>
    <phoneticPr fontId="3" type="noConversion"/>
  </si>
  <si>
    <t>원영현</t>
    <phoneticPr fontId="3" type="noConversion"/>
  </si>
  <si>
    <t>오선영</t>
    <phoneticPr fontId="3" type="noConversion"/>
  </si>
  <si>
    <t>박진희</t>
    <phoneticPr fontId="3" type="noConversion"/>
  </si>
  <si>
    <t>편승주</t>
    <phoneticPr fontId="3" type="noConversion"/>
  </si>
  <si>
    <t>곽나래</t>
    <phoneticPr fontId="3" type="noConversion"/>
  </si>
  <si>
    <t>도홍진</t>
    <phoneticPr fontId="3" type="noConversion"/>
  </si>
  <si>
    <t>학점</t>
    <phoneticPr fontId="3" type="noConversion"/>
  </si>
  <si>
    <t>등록금</t>
    <phoneticPr fontId="3" type="noConversion"/>
  </si>
  <si>
    <t>납부액</t>
    <phoneticPr fontId="3" type="noConversion"/>
  </si>
  <si>
    <t>최은미</t>
    <phoneticPr fontId="3" type="noConversion"/>
  </si>
  <si>
    <t>&lt;할인율표&gt;</t>
    <phoneticPr fontId="3" type="noConversion"/>
  </si>
  <si>
    <t>등수</t>
    <phoneticPr fontId="3" type="noConversion"/>
  </si>
  <si>
    <t>할인율</t>
    <phoneticPr fontId="3" type="noConversion"/>
  </si>
  <si>
    <t>성명</t>
    <phoneticPr fontId="7" type="noConversion"/>
  </si>
  <si>
    <t>입실시간</t>
    <phoneticPr fontId="3" type="noConversion"/>
  </si>
  <si>
    <t>퇴실시간</t>
    <phoneticPr fontId="3" type="noConversion"/>
  </si>
  <si>
    <t>이용시간</t>
    <phoneticPr fontId="3" type="noConversion"/>
  </si>
  <si>
    <t>한가람</t>
    <phoneticPr fontId="7" type="noConversion"/>
  </si>
  <si>
    <t>김은철</t>
    <phoneticPr fontId="7" type="noConversion"/>
  </si>
  <si>
    <t>고사리</t>
    <phoneticPr fontId="7" type="noConversion"/>
  </si>
  <si>
    <t>박은별</t>
    <phoneticPr fontId="7" type="noConversion"/>
  </si>
  <si>
    <t>성준서</t>
    <phoneticPr fontId="7" type="noConversion"/>
  </si>
  <si>
    <t>이성연</t>
    <phoneticPr fontId="7" type="noConversion"/>
  </si>
  <si>
    <t>도서번호</t>
    <phoneticPr fontId="3" type="noConversion"/>
  </si>
  <si>
    <t>대출일</t>
    <phoneticPr fontId="3" type="noConversion"/>
  </si>
  <si>
    <t>반납일</t>
    <phoneticPr fontId="7" type="noConversion"/>
  </si>
  <si>
    <t>A10101</t>
    <phoneticPr fontId="3" type="noConversion"/>
  </si>
  <si>
    <t>A10102</t>
  </si>
  <si>
    <t>A10103</t>
  </si>
  <si>
    <t>A10104</t>
  </si>
  <si>
    <t>A10105</t>
  </si>
  <si>
    <t>김민서</t>
    <phoneticPr fontId="3" type="noConversion"/>
  </si>
  <si>
    <t>김강후</t>
    <phoneticPr fontId="3" type="noConversion"/>
  </si>
  <si>
    <t>이지우</t>
    <phoneticPr fontId="3" type="noConversion"/>
  </si>
  <si>
    <t>강예준</t>
    <phoneticPr fontId="3" type="noConversion"/>
  </si>
  <si>
    <t>최건우</t>
    <phoneticPr fontId="3" type="noConversion"/>
  </si>
  <si>
    <t>평균</t>
    <phoneticPr fontId="3" type="noConversion"/>
  </si>
  <si>
    <t>이름</t>
    <phoneticPr fontId="3" type="noConversion"/>
  </si>
  <si>
    <t>양의정</t>
    <phoneticPr fontId="3" type="noConversion"/>
  </si>
  <si>
    <t>구입빈도 높은 고객수</t>
    <phoneticPr fontId="3" type="noConversion"/>
  </si>
  <si>
    <t>고객번호</t>
    <phoneticPr fontId="3" type="noConversion"/>
  </si>
  <si>
    <t>가입 날짜</t>
    <phoneticPr fontId="3" type="noConversion"/>
  </si>
  <si>
    <t>발송여부</t>
    <phoneticPr fontId="3" type="noConversion"/>
  </si>
  <si>
    <t>AT101</t>
    <phoneticPr fontId="3" type="noConversion"/>
  </si>
  <si>
    <t>AT102</t>
  </si>
  <si>
    <t>AT103</t>
  </si>
  <si>
    <t>AT104</t>
  </si>
  <si>
    <t>AT105</t>
  </si>
  <si>
    <t>AT106</t>
  </si>
  <si>
    <t>AT107</t>
  </si>
  <si>
    <t>평점</t>
    <phoneticPr fontId="3" type="noConversion"/>
  </si>
  <si>
    <t>컴퓨터학과</t>
    <phoneticPr fontId="3" type="noConversion"/>
  </si>
  <si>
    <t>경영학과</t>
    <phoneticPr fontId="3" type="noConversion"/>
  </si>
  <si>
    <t>정보통신과</t>
    <phoneticPr fontId="3" type="noConversion"/>
  </si>
  <si>
    <t>&lt;조건&gt;</t>
    <phoneticPr fontId="3" type="noConversion"/>
  </si>
  <si>
    <t>이민호</t>
    <phoneticPr fontId="3" type="noConversion"/>
  </si>
  <si>
    <t>정보통신, 컴퓨터학과 최고성적 평균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</si>
</sst>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_-* #,##0.0_-;\-* #,##0.0_-;_-* &quot;-&quot;_-;_-@_-"/>
  </numFmts>
  <fonts count="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5" fillId="0" borderId="0">
      <alignment vertical="center"/>
    </xf>
    <xf numFmtId="41" fontId="5" fillId="0" borderId="0" applyFont="0" applyFill="0" applyBorder="0" applyAlignment="0" applyProtection="0">
      <alignment vertical="center"/>
    </xf>
    <xf numFmtId="0" fontId="5" fillId="0" borderId="0"/>
    <xf numFmtId="0" fontId="5" fillId="0" borderId="0"/>
  </cellStyleXfs>
  <cellXfs count="36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6" fillId="0" borderId="0" xfId="2" applyFont="1">
      <alignment vertical="center"/>
    </xf>
    <xf numFmtId="0" fontId="6" fillId="0" borderId="0" xfId="2" applyFont="1" applyAlignment="1">
      <alignment horizontal="right" vertical="center"/>
    </xf>
    <xf numFmtId="0" fontId="6" fillId="0" borderId="1" xfId="2" applyFont="1" applyBorder="1" applyAlignment="1">
      <alignment horizontal="center" vertical="center"/>
    </xf>
    <xf numFmtId="0" fontId="6" fillId="2" borderId="1" xfId="2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2" fillId="0" borderId="1" xfId="1" applyFont="1" applyFill="1" applyBorder="1" applyAlignment="1">
      <alignment horizontal="left" vertical="center"/>
    </xf>
    <xf numFmtId="49" fontId="0" fillId="0" borderId="1" xfId="0" quotePrefix="1" applyNumberForma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41" fontId="2" fillId="0" borderId="1" xfId="1" applyFont="1" applyFill="1" applyBorder="1" applyAlignment="1">
      <alignment vertical="center"/>
    </xf>
    <xf numFmtId="41" fontId="2" fillId="0" borderId="1" xfId="1" applyFont="1" applyFill="1" applyBorder="1" applyAlignment="1">
      <alignment horizontal="center" vertical="center"/>
    </xf>
    <xf numFmtId="176" fontId="6" fillId="0" borderId="1" xfId="1" applyNumberFormat="1" applyFon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41" fontId="6" fillId="0" borderId="1" xfId="1" applyFont="1" applyFill="1" applyBorder="1" applyAlignment="1">
      <alignment horizontal="center" vertical="center"/>
    </xf>
    <xf numFmtId="41" fontId="6" fillId="0" borderId="1" xfId="1" applyFont="1" applyBorder="1" applyAlignment="1">
      <alignment horizontal="center" vertical="center"/>
    </xf>
    <xf numFmtId="0" fontId="6" fillId="0" borderId="0" xfId="2" applyFont="1" applyAlignment="1">
      <alignment horizontal="center" vertical="center"/>
    </xf>
    <xf numFmtId="41" fontId="6" fillId="0" borderId="0" xfId="3" applyFont="1" applyFill="1" applyBorder="1" applyAlignment="1">
      <alignment horizontal="center" vertical="center"/>
    </xf>
    <xf numFmtId="0" fontId="6" fillId="0" borderId="4" xfId="2" applyFont="1" applyBorder="1" applyAlignment="1">
      <alignment horizontal="left" vertical="center"/>
    </xf>
    <xf numFmtId="0" fontId="6" fillId="0" borderId="5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9" fontId="6" fillId="0" borderId="1" xfId="1" applyNumberFormat="1" applyFont="1" applyFill="1" applyBorder="1" applyAlignment="1">
      <alignment horizontal="center" vertical="center"/>
    </xf>
    <xf numFmtId="9" fontId="2" fillId="0" borderId="1" xfId="0" applyNumberFormat="1" applyFont="1" applyBorder="1" applyAlignment="1">
      <alignment horizontal="center" vertical="center"/>
    </xf>
    <xf numFmtId="0" fontId="6" fillId="0" borderId="1" xfId="4" applyFont="1" applyBorder="1" applyAlignment="1">
      <alignment horizontal="center"/>
    </xf>
    <xf numFmtId="20" fontId="0" fillId="0" borderId="1" xfId="0" applyNumberFormat="1" applyBorder="1">
      <alignment vertical="center"/>
    </xf>
    <xf numFmtId="0" fontId="6" fillId="0" borderId="0" xfId="4" applyFont="1" applyAlignment="1">
      <alignment horizontal="left"/>
    </xf>
    <xf numFmtId="0" fontId="6" fillId="2" borderId="1" xfId="5" applyFont="1" applyFill="1" applyBorder="1" applyAlignment="1">
      <alignment horizontal="center"/>
    </xf>
    <xf numFmtId="14" fontId="0" fillId="0" borderId="1" xfId="0" applyNumberForma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41" fontId="2" fillId="0" borderId="1" xfId="1" applyFont="1" applyFill="1" applyBorder="1">
      <alignment vertical="center"/>
    </xf>
    <xf numFmtId="0" fontId="2" fillId="0" borderId="0" xfId="0" applyFont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shrinkToFit="1"/>
    </xf>
    <xf numFmtId="0" fontId="2" fillId="2" borderId="1" xfId="0" applyFont="1" applyFill="1" applyBorder="1" applyAlignment="1">
      <alignment vertical="center"/>
    </xf>
  </cellXfs>
  <cellStyles count="6">
    <cellStyle name="쉼표 [0]" xfId="1" builtinId="6"/>
    <cellStyle name="쉼표 [0] 2 2" xfId="3" xr:uid="{73AF4E6F-26EB-470F-84F0-2E0F5DACC0E0}"/>
    <cellStyle name="표준" xfId="0" builtinId="0"/>
    <cellStyle name="표준 2 2" xfId="2" xr:uid="{227D1F61-63A4-4DC6-8C3F-62135EF072F4}"/>
    <cellStyle name="표준_기본작업-2" xfId="4" xr:uid="{12408365-572A-48B4-BC37-37F8E0EDEC1F}"/>
    <cellStyle name="표준_기본작업-3" xfId="5" xr:uid="{78359F3B-2E63-45D7-A955-13A99DC6E30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04099-46D3-47E1-8D02-24DDEB269C08}">
  <dimension ref="A1:E15"/>
  <sheetViews>
    <sheetView tabSelected="1" workbookViewId="0"/>
  </sheetViews>
  <sheetFormatPr defaultRowHeight="16.5"/>
  <cols>
    <col min="1" max="1" width="16.375" customWidth="1"/>
    <col min="2" max="2" width="12.875" customWidth="1"/>
    <col min="3" max="3" width="11.125" bestFit="1" customWidth="1"/>
  </cols>
  <sheetData>
    <row r="1" spans="1:5">
      <c r="A1" s="1" t="s">
        <v>19</v>
      </c>
      <c r="B1" s="3"/>
      <c r="C1" s="3"/>
      <c r="D1" s="3"/>
      <c r="E1" s="1"/>
    </row>
    <row r="2" spans="1:5">
      <c r="A2" s="5" t="s">
        <v>4</v>
      </c>
      <c r="B2" s="5" t="s">
        <v>37</v>
      </c>
      <c r="C2" s="5" t="s">
        <v>95</v>
      </c>
      <c r="D2" s="1"/>
    </row>
    <row r="3" spans="1:5">
      <c r="A3" s="5" t="s">
        <v>96</v>
      </c>
      <c r="B3" s="5" t="s">
        <v>6</v>
      </c>
      <c r="C3" s="5">
        <v>3.45</v>
      </c>
      <c r="D3" s="1"/>
    </row>
    <row r="4" spans="1:5">
      <c r="A4" s="5" t="s">
        <v>97</v>
      </c>
      <c r="B4" s="5" t="s">
        <v>9</v>
      </c>
      <c r="C4" s="5">
        <v>4.0199999999999996</v>
      </c>
      <c r="D4" s="1"/>
    </row>
    <row r="5" spans="1:5">
      <c r="A5" s="5" t="s">
        <v>97</v>
      </c>
      <c r="B5" s="5" t="s">
        <v>12</v>
      </c>
      <c r="C5" s="5">
        <v>3.67</v>
      </c>
      <c r="D5" s="1"/>
    </row>
    <row r="6" spans="1:5">
      <c r="A6" s="5" t="s">
        <v>96</v>
      </c>
      <c r="B6" s="5" t="s">
        <v>15</v>
      </c>
      <c r="C6" s="5">
        <v>3.89</v>
      </c>
      <c r="D6" s="1"/>
    </row>
    <row r="7" spans="1:5">
      <c r="A7" s="5" t="s">
        <v>98</v>
      </c>
      <c r="B7" s="5" t="s">
        <v>16</v>
      </c>
      <c r="C7" s="5">
        <v>3.12</v>
      </c>
      <c r="D7" s="1"/>
    </row>
    <row r="8" spans="1:5">
      <c r="A8" s="5" t="s">
        <v>98</v>
      </c>
      <c r="B8" s="5" t="s">
        <v>17</v>
      </c>
      <c r="C8" s="5">
        <v>3.91</v>
      </c>
    </row>
    <row r="9" spans="1:5">
      <c r="A9" s="5" t="s">
        <v>96</v>
      </c>
      <c r="B9" s="5" t="s">
        <v>18</v>
      </c>
      <c r="C9" s="5">
        <v>4.1500000000000004</v>
      </c>
    </row>
    <row r="10" spans="1:5">
      <c r="A10" s="5" t="s">
        <v>97</v>
      </c>
      <c r="B10" s="5" t="s">
        <v>100</v>
      </c>
      <c r="C10" s="5">
        <v>3.52</v>
      </c>
    </row>
    <row r="11" spans="1:5">
      <c r="A11" s="34" t="s">
        <v>101</v>
      </c>
      <c r="B11" s="34"/>
      <c r="C11" s="35">
        <f>ROUNDUP(AVERAGE(DMAX(A2:C10,C2,A14:A15),DMAX(A2:C10,C2,A2:A3)),1)</f>
        <v>4.0999999999999996</v>
      </c>
      <c r="E11" s="1"/>
    </row>
    <row r="13" spans="1:5">
      <c r="A13" s="17" t="s">
        <v>99</v>
      </c>
    </row>
    <row r="14" spans="1:5">
      <c r="A14" s="5" t="s">
        <v>4</v>
      </c>
    </row>
    <row r="15" spans="1:5">
      <c r="A15" s="5" t="s">
        <v>98</v>
      </c>
    </row>
  </sheetData>
  <mergeCells count="1">
    <mergeCell ref="A11:B1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7E271-95F5-4C7E-A01E-EA35F5C6C8C9}">
  <dimension ref="A1:E11"/>
  <sheetViews>
    <sheetView workbookViewId="0"/>
  </sheetViews>
  <sheetFormatPr defaultRowHeight="16.5"/>
  <cols>
    <col min="1" max="1" width="7.125" bestFit="1" customWidth="1"/>
  </cols>
  <sheetData>
    <row r="1" spans="1:5">
      <c r="A1" s="1" t="s">
        <v>19</v>
      </c>
      <c r="B1" s="3"/>
      <c r="C1" s="3"/>
      <c r="D1" s="3"/>
      <c r="E1" s="4"/>
    </row>
    <row r="2" spans="1:5">
      <c r="A2" s="5" t="s">
        <v>37</v>
      </c>
      <c r="B2" s="5" t="s">
        <v>38</v>
      </c>
      <c r="C2" s="5" t="s">
        <v>39</v>
      </c>
      <c r="D2" s="5" t="s">
        <v>40</v>
      </c>
      <c r="E2" s="6" t="s">
        <v>41</v>
      </c>
    </row>
    <row r="3" spans="1:5">
      <c r="A3" s="5" t="s">
        <v>42</v>
      </c>
      <c r="B3" s="13">
        <v>3.8</v>
      </c>
      <c r="C3" s="13">
        <v>2.5</v>
      </c>
      <c r="D3" s="13">
        <v>3.1</v>
      </c>
      <c r="E3" s="5" t="str">
        <f>CHOOSE(INT(AVERAGE(B3:D3)),"F","C","B","A")</f>
        <v>B</v>
      </c>
    </row>
    <row r="4" spans="1:5">
      <c r="A4" s="5" t="s">
        <v>43</v>
      </c>
      <c r="B4" s="13">
        <v>4.0999999999999996</v>
      </c>
      <c r="C4" s="13">
        <v>3.5</v>
      </c>
      <c r="D4" s="13">
        <v>4.9000000000000004</v>
      </c>
      <c r="E4" s="5" t="str">
        <f t="shared" ref="E4:E11" si="0">CHOOSE(INT(AVERAGE(B4:D4)),"F","C","B","A")</f>
        <v>A</v>
      </c>
    </row>
    <row r="5" spans="1:5">
      <c r="A5" s="5" t="s">
        <v>44</v>
      </c>
      <c r="B5" s="13">
        <v>3.4</v>
      </c>
      <c r="C5" s="13">
        <v>3.9</v>
      </c>
      <c r="D5" s="13">
        <v>2.5</v>
      </c>
      <c r="E5" s="5" t="str">
        <f t="shared" si="0"/>
        <v>B</v>
      </c>
    </row>
    <row r="6" spans="1:5">
      <c r="A6" s="5" t="s">
        <v>45</v>
      </c>
      <c r="B6" s="13">
        <v>2.5</v>
      </c>
      <c r="C6" s="13">
        <v>2.9</v>
      </c>
      <c r="D6" s="13">
        <v>2.1</v>
      </c>
      <c r="E6" s="5" t="str">
        <f t="shared" si="0"/>
        <v>C</v>
      </c>
    </row>
    <row r="7" spans="1:5">
      <c r="A7" s="5" t="s">
        <v>46</v>
      </c>
      <c r="B7" s="13">
        <v>1.9</v>
      </c>
      <c r="C7" s="13">
        <v>2.4</v>
      </c>
      <c r="D7" s="13">
        <v>0.5</v>
      </c>
      <c r="E7" s="5" t="str">
        <f t="shared" si="0"/>
        <v>F</v>
      </c>
    </row>
    <row r="8" spans="1:5">
      <c r="A8" s="5" t="s">
        <v>47</v>
      </c>
      <c r="B8" s="13">
        <v>4.5</v>
      </c>
      <c r="C8" s="13">
        <v>4.0999999999999996</v>
      </c>
      <c r="D8" s="13">
        <v>4.5</v>
      </c>
      <c r="E8" s="5" t="str">
        <f t="shared" si="0"/>
        <v>A</v>
      </c>
    </row>
    <row r="9" spans="1:5">
      <c r="A9" s="10" t="s">
        <v>48</v>
      </c>
      <c r="B9" s="14">
        <v>2.7</v>
      </c>
      <c r="C9" s="14">
        <v>2.5</v>
      </c>
      <c r="D9" s="14">
        <v>1.5</v>
      </c>
      <c r="E9" s="5" t="str">
        <f t="shared" si="0"/>
        <v>C</v>
      </c>
    </row>
    <row r="10" spans="1:5">
      <c r="A10" s="10" t="s">
        <v>49</v>
      </c>
      <c r="B10" s="14">
        <v>1.8</v>
      </c>
      <c r="C10" s="14">
        <v>1.4</v>
      </c>
      <c r="D10" s="14">
        <v>1.5</v>
      </c>
      <c r="E10" s="5" t="str">
        <f t="shared" si="0"/>
        <v>F</v>
      </c>
    </row>
    <row r="11" spans="1:5">
      <c r="A11" s="10" t="s">
        <v>50</v>
      </c>
      <c r="B11" s="14">
        <v>2.5</v>
      </c>
      <c r="C11" s="14">
        <v>2.5</v>
      </c>
      <c r="D11" s="14">
        <v>1.8</v>
      </c>
      <c r="E11" s="5" t="str">
        <f t="shared" si="0"/>
        <v>C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23A78-61E6-4868-9C96-F83A7CAFF4BC}">
  <dimension ref="A1:C7"/>
  <sheetViews>
    <sheetView workbookViewId="0"/>
  </sheetViews>
  <sheetFormatPr defaultRowHeight="16.5"/>
  <sheetData>
    <row r="1" spans="1:3">
      <c r="A1" t="s">
        <v>19</v>
      </c>
    </row>
    <row r="2" spans="1:3">
      <c r="A2" s="10" t="s">
        <v>82</v>
      </c>
      <c r="B2" s="10" t="s">
        <v>81</v>
      </c>
      <c r="C2" s="6" t="s">
        <v>41</v>
      </c>
    </row>
    <row r="3" spans="1:3">
      <c r="A3" s="10" t="s">
        <v>76</v>
      </c>
      <c r="B3" s="31">
        <v>585</v>
      </c>
      <c r="C3" s="7" t="str">
        <f>CHOOSE(_xlfn.RANK.EQ(B3,$B$3:$B$7,0),"100%","90%","80%","","")</f>
        <v/>
      </c>
    </row>
    <row r="4" spans="1:3">
      <c r="A4" s="10" t="s">
        <v>77</v>
      </c>
      <c r="B4" s="31">
        <v>594</v>
      </c>
      <c r="C4" s="7" t="str">
        <f t="shared" ref="C4:C7" si="0">CHOOSE(_xlfn.RANK.EQ(B4,$B$3:$B$7,0),"100%","90%","80%","","")</f>
        <v>80%</v>
      </c>
    </row>
    <row r="5" spans="1:3">
      <c r="A5" s="10" t="s">
        <v>78</v>
      </c>
      <c r="B5" s="31">
        <v>696</v>
      </c>
      <c r="C5" s="7" t="str">
        <f t="shared" si="0"/>
        <v>90%</v>
      </c>
    </row>
    <row r="6" spans="1:3">
      <c r="A6" s="10" t="s">
        <v>79</v>
      </c>
      <c r="B6" s="31">
        <v>857</v>
      </c>
      <c r="C6" s="7" t="str">
        <f t="shared" si="0"/>
        <v>100%</v>
      </c>
    </row>
    <row r="7" spans="1:3">
      <c r="A7" s="10" t="s">
        <v>80</v>
      </c>
      <c r="B7" s="31">
        <v>584</v>
      </c>
      <c r="C7" s="7" t="str">
        <f t="shared" si="0"/>
        <v/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72FB1-5367-45A5-B90B-0DD552E90D34}">
  <dimension ref="A1:C12"/>
  <sheetViews>
    <sheetView workbookViewId="0"/>
  </sheetViews>
  <sheetFormatPr defaultRowHeight="16.5"/>
  <cols>
    <col min="1" max="1" width="9.75" customWidth="1"/>
  </cols>
  <sheetData>
    <row r="1" spans="1:3">
      <c r="A1" s="1" t="s">
        <v>19</v>
      </c>
      <c r="B1" s="2"/>
      <c r="C1" s="1"/>
    </row>
    <row r="2" spans="1:3">
      <c r="A2" s="10" t="s">
        <v>21</v>
      </c>
      <c r="B2" s="10" t="s">
        <v>23</v>
      </c>
    </row>
    <row r="3" spans="1:3">
      <c r="A3" s="10" t="s">
        <v>25</v>
      </c>
      <c r="B3" s="11">
        <v>4</v>
      </c>
    </row>
    <row r="4" spans="1:3">
      <c r="A4" s="10" t="s">
        <v>27</v>
      </c>
      <c r="B4" s="11">
        <v>9</v>
      </c>
    </row>
    <row r="5" spans="1:3">
      <c r="A5" s="10" t="s">
        <v>29</v>
      </c>
      <c r="B5" s="11">
        <v>5</v>
      </c>
    </row>
    <row r="6" spans="1:3">
      <c r="A6" s="10" t="s">
        <v>30</v>
      </c>
      <c r="B6" s="11">
        <v>1</v>
      </c>
    </row>
    <row r="7" spans="1:3">
      <c r="A7" s="10" t="s">
        <v>31</v>
      </c>
      <c r="B7" s="11">
        <v>4</v>
      </c>
    </row>
    <row r="8" spans="1:3">
      <c r="A8" s="10" t="s">
        <v>83</v>
      </c>
      <c r="B8" s="11">
        <v>5</v>
      </c>
    </row>
    <row r="9" spans="1:3">
      <c r="A9" s="10" t="s">
        <v>33</v>
      </c>
      <c r="B9" s="11">
        <v>9</v>
      </c>
    </row>
    <row r="10" spans="1:3">
      <c r="A10" s="10" t="s">
        <v>34</v>
      </c>
      <c r="B10" s="11">
        <v>4</v>
      </c>
    </row>
    <row r="11" spans="1:3">
      <c r="A11" s="10" t="s">
        <v>35</v>
      </c>
      <c r="B11" s="11">
        <v>7</v>
      </c>
    </row>
    <row r="12" spans="1:3">
      <c r="A12" s="29" t="s">
        <v>84</v>
      </c>
      <c r="B12" s="30"/>
      <c r="C12" s="12" t="str">
        <f>COUNTIF(B3:B11,_xlfn.MODE.SNGL(B3:B11))&amp;"명"</f>
        <v>3명</v>
      </c>
    </row>
  </sheetData>
  <mergeCells count="1">
    <mergeCell ref="A12:B12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ED5AE-503F-4552-B82C-728C1A0416AC}">
  <dimension ref="A1:E13"/>
  <sheetViews>
    <sheetView workbookViewId="0"/>
  </sheetViews>
  <sheetFormatPr defaultRowHeight="16.5"/>
  <cols>
    <col min="3" max="4" width="10.875" bestFit="1" customWidth="1"/>
  </cols>
  <sheetData>
    <row r="1" spans="1:5">
      <c r="A1" s="1" t="s">
        <v>19</v>
      </c>
      <c r="B1" s="3"/>
      <c r="C1" s="3"/>
      <c r="D1" s="4"/>
      <c r="E1" s="3"/>
    </row>
    <row r="2" spans="1:5">
      <c r="A2" s="5" t="s">
        <v>37</v>
      </c>
      <c r="B2" s="5" t="s">
        <v>51</v>
      </c>
      <c r="C2" s="5" t="s">
        <v>52</v>
      </c>
      <c r="D2" s="6" t="s">
        <v>53</v>
      </c>
      <c r="E2" s="1"/>
    </row>
    <row r="3" spans="1:5">
      <c r="A3" s="5" t="s">
        <v>42</v>
      </c>
      <c r="B3" s="13">
        <v>3.5</v>
      </c>
      <c r="C3" s="15">
        <v>3587000</v>
      </c>
      <c r="D3" s="16">
        <f>C3*(1-HLOOKUP(_xlfn.RANK.EQ(B3,$B$3:$B$9),$B$12:$E$13,2))</f>
        <v>1793500</v>
      </c>
      <c r="E3" s="1"/>
    </row>
    <row r="4" spans="1:5">
      <c r="A4" s="5" t="s">
        <v>43</v>
      </c>
      <c r="B4" s="13">
        <v>4.5</v>
      </c>
      <c r="C4" s="15">
        <v>3780000</v>
      </c>
      <c r="D4" s="16">
        <f t="shared" ref="D4:D9" si="0">C4*(1-HLOOKUP(_xlfn.RANK.EQ(B4,$B$3:$B$9),$B$12:$E$13,2))</f>
        <v>0</v>
      </c>
      <c r="E4" s="1"/>
    </row>
    <row r="5" spans="1:5">
      <c r="A5" s="5" t="s">
        <v>44</v>
      </c>
      <c r="B5" s="13">
        <v>4.4000000000000004</v>
      </c>
      <c r="C5" s="15">
        <v>3687000</v>
      </c>
      <c r="D5" s="16">
        <f t="shared" si="0"/>
        <v>1106100.0000000002</v>
      </c>
      <c r="E5" s="1"/>
    </row>
    <row r="6" spans="1:5">
      <c r="A6" s="5" t="s">
        <v>45</v>
      </c>
      <c r="B6" s="13">
        <v>4.2</v>
      </c>
      <c r="C6" s="15">
        <v>3425000</v>
      </c>
      <c r="D6" s="16">
        <f t="shared" si="0"/>
        <v>1027500.0000000001</v>
      </c>
      <c r="E6" s="1"/>
    </row>
    <row r="7" spans="1:5">
      <c r="A7" s="5" t="s">
        <v>46</v>
      </c>
      <c r="B7" s="13">
        <v>3.9</v>
      </c>
      <c r="C7" s="15">
        <v>3985000</v>
      </c>
      <c r="D7" s="16">
        <f t="shared" si="0"/>
        <v>1992500</v>
      </c>
      <c r="E7" s="1"/>
    </row>
    <row r="8" spans="1:5">
      <c r="A8" s="5" t="s">
        <v>54</v>
      </c>
      <c r="B8" s="13">
        <v>2.1</v>
      </c>
      <c r="C8" s="15">
        <v>2987400</v>
      </c>
      <c r="D8" s="16">
        <f t="shared" si="0"/>
        <v>2987400</v>
      </c>
      <c r="E8" s="1"/>
    </row>
    <row r="9" spans="1:5">
      <c r="A9" s="5" t="s">
        <v>47</v>
      </c>
      <c r="B9" s="13">
        <v>2.5</v>
      </c>
      <c r="C9" s="15">
        <v>3157000</v>
      </c>
      <c r="D9" s="16">
        <f t="shared" si="0"/>
        <v>3157000</v>
      </c>
      <c r="E9" s="1"/>
    </row>
    <row r="10" spans="1:5">
      <c r="A10" s="17"/>
      <c r="B10" s="17"/>
      <c r="C10" s="18"/>
      <c r="D10" s="17"/>
      <c r="E10" s="1"/>
    </row>
    <row r="11" spans="1:5">
      <c r="A11" s="19" t="s">
        <v>55</v>
      </c>
      <c r="B11" s="19"/>
      <c r="C11" s="19"/>
      <c r="D11" s="19"/>
      <c r="E11" s="19"/>
    </row>
    <row r="12" spans="1:5">
      <c r="A12" s="20" t="s">
        <v>56</v>
      </c>
      <c r="B12" s="21">
        <v>1</v>
      </c>
      <c r="C12" s="5">
        <v>2</v>
      </c>
      <c r="D12" s="5">
        <v>4</v>
      </c>
      <c r="E12" s="5">
        <v>6</v>
      </c>
    </row>
    <row r="13" spans="1:5">
      <c r="A13" s="5" t="s">
        <v>57</v>
      </c>
      <c r="B13" s="22">
        <v>1</v>
      </c>
      <c r="C13" s="22">
        <v>0.7</v>
      </c>
      <c r="D13" s="22">
        <v>0.5</v>
      </c>
      <c r="E13" s="23">
        <v>0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E6C13-B895-4561-81E1-327FB7355E3D}">
  <dimension ref="A1:D11"/>
  <sheetViews>
    <sheetView workbookViewId="0"/>
  </sheetViews>
  <sheetFormatPr defaultRowHeight="16.5"/>
  <cols>
    <col min="1" max="1" width="15.125" customWidth="1"/>
    <col min="2" max="2" width="17.625" customWidth="1"/>
    <col min="3" max="4" width="10.875" bestFit="1" customWidth="1"/>
  </cols>
  <sheetData>
    <row r="1" spans="1:4">
      <c r="A1" s="1" t="s">
        <v>19</v>
      </c>
      <c r="B1" s="2" t="s">
        <v>20</v>
      </c>
      <c r="C1" s="1"/>
      <c r="D1" s="1"/>
    </row>
    <row r="2" spans="1:4">
      <c r="A2" s="10" t="s">
        <v>21</v>
      </c>
      <c r="B2" s="10" t="s">
        <v>22</v>
      </c>
      <c r="C2" s="10" t="s">
        <v>24</v>
      </c>
    </row>
    <row r="3" spans="1:4">
      <c r="A3" s="10" t="s">
        <v>25</v>
      </c>
      <c r="B3" s="10" t="s">
        <v>26</v>
      </c>
      <c r="C3" s="11">
        <v>1208000</v>
      </c>
    </row>
    <row r="4" spans="1:4">
      <c r="A4" s="10" t="s">
        <v>27</v>
      </c>
      <c r="B4" s="10" t="s">
        <v>28</v>
      </c>
      <c r="C4" s="11">
        <v>2214000</v>
      </c>
    </row>
    <row r="5" spans="1:4">
      <c r="A5" s="10" t="s">
        <v>29</v>
      </c>
      <c r="B5" s="10" t="s">
        <v>26</v>
      </c>
      <c r="C5" s="11">
        <v>1425000</v>
      </c>
    </row>
    <row r="6" spans="1:4">
      <c r="A6" s="10" t="s">
        <v>30</v>
      </c>
      <c r="B6" s="10" t="s">
        <v>26</v>
      </c>
      <c r="C6" s="11">
        <v>265000</v>
      </c>
    </row>
    <row r="7" spans="1:4">
      <c r="A7" s="10" t="s">
        <v>31</v>
      </c>
      <c r="B7" s="10" t="s">
        <v>32</v>
      </c>
      <c r="C7" s="11">
        <v>1168000</v>
      </c>
    </row>
    <row r="8" spans="1:4">
      <c r="A8" s="10" t="s">
        <v>33</v>
      </c>
      <c r="B8" s="10" t="s">
        <v>28</v>
      </c>
      <c r="C8" s="11">
        <v>2493000</v>
      </c>
    </row>
    <row r="9" spans="1:4">
      <c r="A9" s="10" t="s">
        <v>34</v>
      </c>
      <c r="B9" s="10" t="s">
        <v>28</v>
      </c>
      <c r="C9" s="11">
        <v>1020000</v>
      </c>
    </row>
    <row r="10" spans="1:4">
      <c r="A10" s="10" t="s">
        <v>35</v>
      </c>
      <c r="B10" s="10" t="s">
        <v>32</v>
      </c>
      <c r="C10" s="11">
        <v>1967000</v>
      </c>
    </row>
    <row r="11" spans="1:4">
      <c r="A11" s="29" t="s">
        <v>36</v>
      </c>
      <c r="B11" s="30"/>
      <c r="C11" s="12" t="str">
        <f>INDEX(A3:A10,MATCH(DMAX(A2:C10,C2,B2:B3),C3:C10,0))</f>
        <v>이수학</v>
      </c>
    </row>
  </sheetData>
  <mergeCells count="1">
    <mergeCell ref="A11:B11"/>
  </mergeCells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F831-353B-4926-B05A-50F90A7CA864}">
  <dimension ref="A1:D8"/>
  <sheetViews>
    <sheetView workbookViewId="0"/>
  </sheetViews>
  <sheetFormatPr defaultRowHeight="16.5"/>
  <sheetData>
    <row r="1" spans="1:4">
      <c r="A1" s="1" t="s">
        <v>19</v>
      </c>
      <c r="B1" s="1"/>
      <c r="C1" s="1"/>
      <c r="D1" s="1"/>
    </row>
    <row r="2" spans="1:4">
      <c r="A2" s="24" t="s">
        <v>58</v>
      </c>
      <c r="B2" s="7" t="s">
        <v>59</v>
      </c>
      <c r="C2" s="7" t="s">
        <v>60</v>
      </c>
      <c r="D2" s="6" t="s">
        <v>61</v>
      </c>
    </row>
    <row r="3" spans="1:4">
      <c r="A3" s="24" t="s">
        <v>62</v>
      </c>
      <c r="B3" s="25">
        <v>0.39583333333333331</v>
      </c>
      <c r="C3" s="25">
        <v>0.52083333333333337</v>
      </c>
      <c r="D3" s="7" t="str">
        <f>IF(MINUTE(C3-B3)&gt;30,HOUR(C3-B3)+1,HOUR(C3-B3)) &amp; "시간"</f>
        <v>3시간</v>
      </c>
    </row>
    <row r="4" spans="1:4">
      <c r="A4" s="24" t="s">
        <v>63</v>
      </c>
      <c r="B4" s="25">
        <v>0.4236111111111111</v>
      </c>
      <c r="C4" s="25">
        <v>0.76388888888888884</v>
      </c>
      <c r="D4" s="7" t="str">
        <f t="shared" ref="D4:D8" si="0">IF(MINUTE(C4-B4)&gt;30,HOUR(C4-B4)+1,HOUR(C4-B4)) &amp; "시간"</f>
        <v>8시간</v>
      </c>
    </row>
    <row r="5" spans="1:4">
      <c r="A5" s="24" t="s">
        <v>64</v>
      </c>
      <c r="B5" s="25">
        <v>0.4375</v>
      </c>
      <c r="C5" s="25">
        <v>0.80763888888888891</v>
      </c>
      <c r="D5" s="7" t="str">
        <f t="shared" si="0"/>
        <v>9시간</v>
      </c>
    </row>
    <row r="6" spans="1:4">
      <c r="A6" s="24" t="s">
        <v>65</v>
      </c>
      <c r="B6" s="25">
        <v>0.47222222222222227</v>
      </c>
      <c r="C6" s="25">
        <v>0.59722222222222221</v>
      </c>
      <c r="D6" s="7" t="str">
        <f t="shared" si="0"/>
        <v>3시간</v>
      </c>
    </row>
    <row r="7" spans="1:4">
      <c r="A7" s="24" t="s">
        <v>66</v>
      </c>
      <c r="B7" s="25">
        <v>0.49305555555555558</v>
      </c>
      <c r="C7" s="25">
        <v>0.64583333333333337</v>
      </c>
      <c r="D7" s="7" t="str">
        <f t="shared" si="0"/>
        <v>4시간</v>
      </c>
    </row>
    <row r="8" spans="1:4">
      <c r="A8" s="24" t="s">
        <v>67</v>
      </c>
      <c r="B8" s="25">
        <v>0.50347222222222221</v>
      </c>
      <c r="C8" s="25">
        <v>0.72430555555555554</v>
      </c>
      <c r="D8" s="7" t="str">
        <f t="shared" si="0"/>
        <v>5시간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032A4-13CF-4AFD-B94F-6E8A80EC37AD}">
  <dimension ref="A1:C7"/>
  <sheetViews>
    <sheetView workbookViewId="0"/>
  </sheetViews>
  <sheetFormatPr defaultRowHeight="16.5"/>
  <cols>
    <col min="2" max="3" width="11.125" bestFit="1" customWidth="1"/>
  </cols>
  <sheetData>
    <row r="1" spans="1:3">
      <c r="A1" s="26" t="s">
        <v>19</v>
      </c>
    </row>
    <row r="2" spans="1:3">
      <c r="A2" s="7" t="s">
        <v>68</v>
      </c>
      <c r="B2" s="7" t="s">
        <v>69</v>
      </c>
      <c r="C2" s="27" t="s">
        <v>70</v>
      </c>
    </row>
    <row r="3" spans="1:3">
      <c r="A3" s="7" t="s">
        <v>71</v>
      </c>
      <c r="B3" s="28">
        <v>45721</v>
      </c>
      <c r="C3" s="28">
        <f>IF(WEEKDAY(B3+10,2)=6,B3+12,IF(WEEKDAY(B3+10,2)=7,B3+11,B3+10))</f>
        <v>45733</v>
      </c>
    </row>
    <row r="4" spans="1:3">
      <c r="A4" s="7" t="s">
        <v>72</v>
      </c>
      <c r="B4" s="28">
        <v>45748</v>
      </c>
      <c r="C4" s="28">
        <f t="shared" ref="C4:C7" si="0">IF(WEEKDAY(B4+10,2)=6,B4+12,IF(WEEKDAY(B4+10,2)=7,B4+11,B4+10))</f>
        <v>45758</v>
      </c>
    </row>
    <row r="5" spans="1:3">
      <c r="A5" s="7" t="s">
        <v>73</v>
      </c>
      <c r="B5" s="28">
        <v>45757</v>
      </c>
      <c r="C5" s="28">
        <f t="shared" si="0"/>
        <v>45768</v>
      </c>
    </row>
    <row r="6" spans="1:3">
      <c r="A6" s="7" t="s">
        <v>74</v>
      </c>
      <c r="B6" s="28">
        <v>45772</v>
      </c>
      <c r="C6" s="28">
        <f t="shared" si="0"/>
        <v>45782</v>
      </c>
    </row>
    <row r="7" spans="1:3">
      <c r="A7" s="7" t="s">
        <v>75</v>
      </c>
      <c r="B7" s="28">
        <v>45780</v>
      </c>
      <c r="C7" s="28">
        <f t="shared" si="0"/>
        <v>45790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0C78A-333E-4B8A-A404-4A2C9114D7B5}">
  <dimension ref="A1:F9"/>
  <sheetViews>
    <sheetView workbookViewId="0"/>
  </sheetViews>
  <sheetFormatPr defaultRowHeight="16.5"/>
  <cols>
    <col min="3" max="3" width="21.75" bestFit="1" customWidth="1"/>
    <col min="4" max="4" width="1.625" customWidth="1"/>
    <col min="6" max="6" width="13" bestFit="1" customWidth="1"/>
  </cols>
  <sheetData>
    <row r="1" spans="1:6">
      <c r="A1" s="1" t="s">
        <v>19</v>
      </c>
      <c r="B1" s="2" t="s">
        <v>0</v>
      </c>
      <c r="C1" s="3"/>
      <c r="D1" s="4"/>
      <c r="E1" t="s">
        <v>1</v>
      </c>
    </row>
    <row r="2" spans="1:6">
      <c r="A2" s="5" t="s">
        <v>2</v>
      </c>
      <c r="B2" s="5" t="s">
        <v>3</v>
      </c>
      <c r="C2" s="6" t="s">
        <v>4</v>
      </c>
      <c r="E2" s="7" t="s">
        <v>5</v>
      </c>
      <c r="F2" s="7" t="s">
        <v>4</v>
      </c>
    </row>
    <row r="3" spans="1:6">
      <c r="A3" s="5">
        <v>2411012</v>
      </c>
      <c r="B3" s="5" t="s">
        <v>6</v>
      </c>
      <c r="C3" s="8" t="str">
        <f>LEFT(A3,2)&amp;"학번 "&amp;VLOOKUP(MID(A3,3,2),$E$3:$F$5,2,0)</f>
        <v>24학번 AI융합</v>
      </c>
      <c r="E3" s="9" t="s">
        <v>7</v>
      </c>
      <c r="F3" s="7" t="s">
        <v>8</v>
      </c>
    </row>
    <row r="4" spans="1:6">
      <c r="A4" s="5">
        <v>2522013</v>
      </c>
      <c r="B4" s="5" t="s">
        <v>9</v>
      </c>
      <c r="C4" s="8" t="str">
        <f t="shared" ref="C4:C9" si="0">LEFT(A4,2)&amp;"학번 "&amp;VLOOKUP(MID(A4,3,2),$E$3:$F$5,2,0)</f>
        <v>25학번 소프트웨어</v>
      </c>
      <c r="E4" s="9" t="s">
        <v>10</v>
      </c>
      <c r="F4" s="7" t="s">
        <v>11</v>
      </c>
    </row>
    <row r="5" spans="1:6">
      <c r="A5" s="5">
        <v>2433015</v>
      </c>
      <c r="B5" s="5" t="s">
        <v>12</v>
      </c>
      <c r="C5" s="8" t="str">
        <f t="shared" si="0"/>
        <v>24학번 글로벌미디어</v>
      </c>
      <c r="E5" s="9" t="s">
        <v>13</v>
      </c>
      <c r="F5" s="7" t="s">
        <v>14</v>
      </c>
    </row>
    <row r="6" spans="1:6">
      <c r="A6" s="5">
        <v>2511016</v>
      </c>
      <c r="B6" s="5" t="s">
        <v>15</v>
      </c>
      <c r="C6" s="8" t="str">
        <f t="shared" si="0"/>
        <v>25학번 AI융합</v>
      </c>
    </row>
    <row r="7" spans="1:6">
      <c r="A7" s="5">
        <v>2422019</v>
      </c>
      <c r="B7" s="5" t="s">
        <v>16</v>
      </c>
      <c r="C7" s="8" t="str">
        <f t="shared" si="0"/>
        <v>24학번 소프트웨어</v>
      </c>
    </row>
    <row r="8" spans="1:6">
      <c r="A8" s="5">
        <v>2533018</v>
      </c>
      <c r="B8" s="5" t="s">
        <v>17</v>
      </c>
      <c r="C8" s="8" t="str">
        <f t="shared" si="0"/>
        <v>25학번 글로벌미디어</v>
      </c>
    </row>
    <row r="9" spans="1:6">
      <c r="A9" s="5">
        <v>2422017</v>
      </c>
      <c r="B9" s="5" t="s">
        <v>18</v>
      </c>
      <c r="C9" s="8" t="str">
        <f t="shared" si="0"/>
        <v>24학번 소프트웨어</v>
      </c>
    </row>
  </sheetData>
  <phoneticPr fontId="3" type="noConversion"/>
  <pageMargins left="0.7" right="0.7" top="0.75" bottom="0.75" header="0.3" footer="0.3"/>
  <ignoredErrors>
    <ignoredError sqref="E3:E5" numberStoredAsText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40592-E061-4671-87C5-954CB3E8C35F}">
  <dimension ref="A1:C9"/>
  <sheetViews>
    <sheetView workbookViewId="0"/>
  </sheetViews>
  <sheetFormatPr defaultRowHeight="16.5"/>
  <cols>
    <col min="2" max="2" width="11.125" bestFit="1" customWidth="1"/>
  </cols>
  <sheetData>
    <row r="1" spans="1:3">
      <c r="A1" s="32" t="s">
        <v>19</v>
      </c>
    </row>
    <row r="2" spans="1:3">
      <c r="A2" s="7" t="s">
        <v>85</v>
      </c>
      <c r="B2" s="7" t="s">
        <v>86</v>
      </c>
      <c r="C2" s="33" t="s">
        <v>87</v>
      </c>
    </row>
    <row r="3" spans="1:3">
      <c r="A3" s="7" t="s">
        <v>88</v>
      </c>
      <c r="B3" s="28">
        <v>45780</v>
      </c>
      <c r="C3" s="7" t="str">
        <f>IF(OR(MONTH(B3)=5,MONTH(B3)=10),"발송","")</f>
        <v>발송</v>
      </c>
    </row>
    <row r="4" spans="1:3">
      <c r="A4" s="7" t="s">
        <v>89</v>
      </c>
      <c r="B4" s="28">
        <v>45845</v>
      </c>
      <c r="C4" s="7" t="str">
        <f t="shared" ref="C4:C9" si="0">IF(OR(MONTH(B4)=5,MONTH(B4)=10),"발송","")</f>
        <v/>
      </c>
    </row>
    <row r="5" spans="1:3">
      <c r="A5" s="7" t="s">
        <v>90</v>
      </c>
      <c r="B5" s="28">
        <v>45940</v>
      </c>
      <c r="C5" s="7" t="str">
        <f t="shared" si="0"/>
        <v>발송</v>
      </c>
    </row>
    <row r="6" spans="1:3">
      <c r="A6" s="7" t="s">
        <v>91</v>
      </c>
      <c r="B6" s="28">
        <v>45972</v>
      </c>
      <c r="C6" s="7" t="str">
        <f t="shared" si="0"/>
        <v/>
      </c>
    </row>
    <row r="7" spans="1:3">
      <c r="A7" s="7" t="s">
        <v>92</v>
      </c>
      <c r="B7" s="28">
        <v>45992</v>
      </c>
      <c r="C7" s="7" t="str">
        <f t="shared" si="0"/>
        <v/>
      </c>
    </row>
    <row r="8" spans="1:3">
      <c r="A8" s="7" t="s">
        <v>93</v>
      </c>
      <c r="B8" s="28">
        <v>45787</v>
      </c>
      <c r="C8" s="7" t="str">
        <f t="shared" si="0"/>
        <v>발송</v>
      </c>
    </row>
    <row r="9" spans="1:3">
      <c r="A9" s="7" t="s">
        <v>94</v>
      </c>
      <c r="B9" s="28">
        <v>45931</v>
      </c>
      <c r="C9" s="7" t="str">
        <f t="shared" si="0"/>
        <v>발송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DMAX</vt:lpstr>
      <vt:lpstr>AVERAGE</vt:lpstr>
      <vt:lpstr>RANK</vt:lpstr>
      <vt:lpstr>MODE</vt:lpstr>
      <vt:lpstr>HLOOKUP</vt:lpstr>
      <vt:lpstr>MATCH</vt:lpstr>
      <vt:lpstr>HOUR</vt:lpstr>
      <vt:lpstr>WEEKDAY</vt:lpstr>
      <vt:lpstr>LEFT,MID</vt:lpstr>
      <vt:lpstr>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2024-07-16T07:55:59Z</dcterms:created>
  <dcterms:modified xsi:type="dcterms:W3CDTF">2024-07-16T09:38:42Z</dcterms:modified>
</cp:coreProperties>
</file>