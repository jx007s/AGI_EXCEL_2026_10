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E07C47EA-419D-4A06-8174-A6BB57B0D51D}" xr6:coauthVersionLast="47" xr6:coauthVersionMax="47" xr10:uidLastSave="{00000000-0000-0000-0000-000000000000}"/>
  <bookViews>
    <workbookView xWindow="16340" yWindow="770" windowWidth="15760" windowHeight="15050" tabRatio="90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6" l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J15" i="5"/>
  <c r="J14" i="5"/>
  <c r="J13" i="5"/>
  <c r="J12" i="5"/>
  <c r="J11" i="5"/>
  <c r="J10" i="5"/>
  <c r="J9" i="5"/>
  <c r="J8" i="5"/>
  <c r="J7" i="5"/>
  <c r="J6" i="5"/>
  <c r="J5" i="5"/>
  <c r="J4" i="5"/>
  <c r="E13" i="2"/>
  <c r="D13" i="2"/>
  <c r="E12" i="2"/>
  <c r="D12" i="2"/>
  <c r="F11" i="2"/>
  <c r="F10" i="2"/>
  <c r="F9" i="2"/>
  <c r="F8" i="2"/>
  <c r="F7" i="2"/>
  <c r="F6" i="2"/>
  <c r="F5" i="2"/>
  <c r="G11" i="6" l="1"/>
</calcChain>
</file>

<file path=xl/sharedStrings.xml><?xml version="1.0" encoding="utf-8"?>
<sst xmlns="http://schemas.openxmlformats.org/spreadsheetml/2006/main" count="263" uniqueCount="221">
  <si>
    <t>사랑의 이웃돕기 회원 명단</t>
    <phoneticPr fontId="4" type="noConversion"/>
  </si>
  <si>
    <t>추석 과일 선물 세트 판매 현황</t>
    <phoneticPr fontId="4" type="noConversion"/>
  </si>
  <si>
    <t>상품코드</t>
    <phoneticPr fontId="4" type="noConversion"/>
  </si>
  <si>
    <t>상품명</t>
    <phoneticPr fontId="4" type="noConversion"/>
  </si>
  <si>
    <t>단가</t>
    <phoneticPr fontId="4" type="noConversion"/>
  </si>
  <si>
    <t>판매총액</t>
    <phoneticPr fontId="4" type="noConversion"/>
  </si>
  <si>
    <t>목표총액</t>
    <phoneticPr fontId="4" type="noConversion"/>
  </si>
  <si>
    <t>달성율</t>
    <phoneticPr fontId="4" type="noConversion"/>
  </si>
  <si>
    <t>사과</t>
    <phoneticPr fontId="4" type="noConversion"/>
  </si>
  <si>
    <t>배</t>
    <phoneticPr fontId="4" type="noConversion"/>
  </si>
  <si>
    <t>곶감</t>
    <phoneticPr fontId="4" type="noConversion"/>
  </si>
  <si>
    <t>포도</t>
    <phoneticPr fontId="4" type="noConversion"/>
  </si>
  <si>
    <t>감</t>
    <phoneticPr fontId="4" type="noConversion"/>
  </si>
  <si>
    <t>메론</t>
    <phoneticPr fontId="4" type="noConversion"/>
  </si>
  <si>
    <t>딸기</t>
    <phoneticPr fontId="4" type="noConversion"/>
  </si>
  <si>
    <t>합계</t>
    <phoneticPr fontId="4" type="noConversion"/>
  </si>
  <si>
    <t>평균</t>
    <phoneticPr fontId="4" type="noConversion"/>
  </si>
  <si>
    <t xml:space="preserve"> 출장비 지급 내역서</t>
    <phoneticPr fontId="4" type="noConversion"/>
  </si>
  <si>
    <t>단위: 원</t>
    <phoneticPr fontId="4" type="noConversion"/>
  </si>
  <si>
    <t>사원코드</t>
    <phoneticPr fontId="4" type="noConversion"/>
  </si>
  <si>
    <t>성명</t>
    <phoneticPr fontId="4" type="noConversion"/>
  </si>
  <si>
    <t>직위</t>
    <phoneticPr fontId="4" type="noConversion"/>
  </si>
  <si>
    <t>출발일</t>
    <phoneticPr fontId="4" type="noConversion"/>
  </si>
  <si>
    <t>도착일</t>
    <phoneticPr fontId="4" type="noConversion"/>
  </si>
  <si>
    <t>지급일</t>
    <phoneticPr fontId="4" type="noConversion"/>
  </si>
  <si>
    <t>지급금액</t>
    <phoneticPr fontId="4" type="noConversion"/>
  </si>
  <si>
    <t>출장지</t>
    <phoneticPr fontId="4" type="noConversion"/>
  </si>
  <si>
    <t>AS-0255</t>
    <phoneticPr fontId="4" type="noConversion"/>
  </si>
  <si>
    <t>운인향</t>
  </si>
  <si>
    <t>과장</t>
    <phoneticPr fontId="4" type="noConversion"/>
  </si>
  <si>
    <t>제주도</t>
    <phoneticPr fontId="4" type="noConversion"/>
  </si>
  <si>
    <t>AS-0467</t>
    <phoneticPr fontId="4" type="noConversion"/>
  </si>
  <si>
    <t>임인정</t>
  </si>
  <si>
    <t>대리</t>
    <phoneticPr fontId="4" type="noConversion"/>
  </si>
  <si>
    <t>부산</t>
    <phoneticPr fontId="4" type="noConversion"/>
  </si>
  <si>
    <t>FD-2346</t>
    <phoneticPr fontId="4" type="noConversion"/>
  </si>
  <si>
    <t>탁민송</t>
  </si>
  <si>
    <t>계장</t>
    <phoneticPr fontId="4" type="noConversion"/>
  </si>
  <si>
    <t>부산</t>
    <phoneticPr fontId="4" type="noConversion"/>
  </si>
  <si>
    <t>GF-0675</t>
    <phoneticPr fontId="4" type="noConversion"/>
  </si>
  <si>
    <t>한대수</t>
  </si>
  <si>
    <t>부장</t>
    <phoneticPr fontId="4" type="noConversion"/>
  </si>
  <si>
    <t>대구</t>
    <phoneticPr fontId="4" type="noConversion"/>
  </si>
  <si>
    <t>SD-0011</t>
    <phoneticPr fontId="4" type="noConversion"/>
  </si>
  <si>
    <t>최민자</t>
  </si>
  <si>
    <t>사원</t>
    <phoneticPr fontId="4" type="noConversion"/>
  </si>
  <si>
    <t>AS-0446</t>
    <phoneticPr fontId="4" type="noConversion"/>
  </si>
  <si>
    <t>이택용</t>
  </si>
  <si>
    <t>대전</t>
    <phoneticPr fontId="4" type="noConversion"/>
  </si>
  <si>
    <t>FD-2378</t>
    <phoneticPr fontId="4" type="noConversion"/>
  </si>
  <si>
    <t>최승은</t>
  </si>
  <si>
    <t>제주도</t>
    <phoneticPr fontId="4" type="noConversion"/>
  </si>
  <si>
    <t>GF-1612</t>
    <phoneticPr fontId="4" type="noConversion"/>
  </si>
  <si>
    <t>조선영</t>
  </si>
  <si>
    <t>과장</t>
    <phoneticPr fontId="4" type="noConversion"/>
  </si>
  <si>
    <t>[표1] 폐기물 배출 조사</t>
    <phoneticPr fontId="4" type="noConversion"/>
  </si>
  <si>
    <t>업종</t>
    <phoneticPr fontId="4" type="noConversion"/>
  </si>
  <si>
    <t>비율</t>
    <phoneticPr fontId="4" type="noConversion"/>
  </si>
  <si>
    <t>상태</t>
    <phoneticPr fontId="4" type="noConversion"/>
  </si>
  <si>
    <t>2일차</t>
  </si>
  <si>
    <t>3일차</t>
  </si>
  <si>
    <t>4일차</t>
  </si>
  <si>
    <t>1차금속</t>
  </si>
  <si>
    <t>임경숙</t>
  </si>
  <si>
    <t>O</t>
    <phoneticPr fontId="4" type="noConversion"/>
  </si>
  <si>
    <t>석유정제</t>
  </si>
  <si>
    <t>한종수</t>
  </si>
  <si>
    <t>섬유제품</t>
  </si>
  <si>
    <t>지숙경</t>
  </si>
  <si>
    <t>통신장비</t>
  </si>
  <si>
    <t>전수호</t>
  </si>
  <si>
    <t>화학제품</t>
  </si>
  <si>
    <t>우민구</t>
  </si>
  <si>
    <t>[표3] 부서 직원 현황</t>
    <phoneticPr fontId="4" type="noConversion"/>
  </si>
  <si>
    <t>[표4] 영어학원 점수현황</t>
    <phoneticPr fontId="4" type="noConversion"/>
  </si>
  <si>
    <t>이름</t>
    <phoneticPr fontId="4" type="noConversion"/>
  </si>
  <si>
    <t>전화번호</t>
    <phoneticPr fontId="4" type="noConversion"/>
  </si>
  <si>
    <t>지역명</t>
    <phoneticPr fontId="4" type="noConversion"/>
  </si>
  <si>
    <t>이름</t>
    <phoneticPr fontId="4" type="noConversion"/>
  </si>
  <si>
    <t>점수</t>
    <phoneticPr fontId="4" type="noConversion"/>
  </si>
  <si>
    <t>등급</t>
    <phoneticPr fontId="4" type="noConversion"/>
  </si>
  <si>
    <t>점수표</t>
    <phoneticPr fontId="4" type="noConversion"/>
  </si>
  <si>
    <t>김운경</t>
  </si>
  <si>
    <t>054-344-3245</t>
    <phoneticPr fontId="4" type="noConversion"/>
  </si>
  <si>
    <t>오민송</t>
  </si>
  <si>
    <t>031-233-2435</t>
    <phoneticPr fontId="4" type="noConversion"/>
  </si>
  <si>
    <t>오기택</t>
  </si>
  <si>
    <t>032-657-0035</t>
    <phoneticPr fontId="4" type="noConversion"/>
  </si>
  <si>
    <t>김성묵</t>
  </si>
  <si>
    <t>031-655-9975</t>
    <phoneticPr fontId="4" type="noConversion"/>
  </si>
  <si>
    <t>허창환</t>
  </si>
  <si>
    <t>054-792-3890</t>
    <phoneticPr fontId="4" type="noConversion"/>
  </si>
  <si>
    <t>박지연</t>
  </si>
  <si>
    <t>031-583-4551</t>
    <phoneticPr fontId="4" type="noConversion"/>
  </si>
  <si>
    <t>&lt;지역번호 표&gt;</t>
    <phoneticPr fontId="4" type="noConversion"/>
  </si>
  <si>
    <t>지역번호</t>
    <phoneticPr fontId="4" type="noConversion"/>
  </si>
  <si>
    <t>054</t>
    <phoneticPr fontId="4" type="noConversion"/>
  </si>
  <si>
    <t>031</t>
    <phoneticPr fontId="4" type="noConversion"/>
  </si>
  <si>
    <t>032</t>
    <phoneticPr fontId="4" type="noConversion"/>
  </si>
  <si>
    <t>지역</t>
    <phoneticPr fontId="4" type="noConversion"/>
  </si>
  <si>
    <t>경북</t>
    <phoneticPr fontId="4" type="noConversion"/>
  </si>
  <si>
    <t>경기도</t>
    <phoneticPr fontId="4" type="noConversion"/>
  </si>
  <si>
    <t>인천</t>
    <phoneticPr fontId="4" type="noConversion"/>
  </si>
  <si>
    <t>[표5] 문화산업별 고용현황</t>
    <phoneticPr fontId="4" type="noConversion"/>
  </si>
  <si>
    <t>문화산업</t>
    <phoneticPr fontId="4" type="noConversion"/>
  </si>
  <si>
    <t>고용형태</t>
    <phoneticPr fontId="4" type="noConversion"/>
  </si>
  <si>
    <t>인원수</t>
    <phoneticPr fontId="4" type="noConversion"/>
  </si>
  <si>
    <t>애니메이션</t>
    <phoneticPr fontId="4" type="noConversion"/>
  </si>
  <si>
    <t>정규직</t>
    <phoneticPr fontId="4" type="noConversion"/>
  </si>
  <si>
    <t>비정규직</t>
    <phoneticPr fontId="4" type="noConversion"/>
  </si>
  <si>
    <t>캐릭터</t>
    <phoneticPr fontId="4" type="noConversion"/>
  </si>
  <si>
    <t>정규직</t>
    <phoneticPr fontId="4" type="noConversion"/>
  </si>
  <si>
    <t>비정규직</t>
    <phoneticPr fontId="4" type="noConversion"/>
  </si>
  <si>
    <t>비정규직의 인원수합계</t>
    <phoneticPr fontId="4" type="noConversion"/>
  </si>
  <si>
    <t>인터넷/모바일</t>
    <phoneticPr fontId="4" type="noConversion"/>
  </si>
  <si>
    <t>인터넷/모바일</t>
    <phoneticPr fontId="4" type="noConversion"/>
  </si>
  <si>
    <t>비정규직</t>
    <phoneticPr fontId="4" type="noConversion"/>
  </si>
  <si>
    <t>출장비 현황</t>
    <phoneticPr fontId="4" type="noConversion"/>
  </si>
  <si>
    <t xml:space="preserve">작성일: </t>
    <phoneticPr fontId="4" type="noConversion"/>
  </si>
  <si>
    <t>성명</t>
    <phoneticPr fontId="11" type="noConversion"/>
  </si>
  <si>
    <t>부서</t>
    <phoneticPr fontId="11" type="noConversion"/>
  </si>
  <si>
    <t>직위</t>
    <phoneticPr fontId="11" type="noConversion"/>
  </si>
  <si>
    <t>출장지</t>
    <phoneticPr fontId="11" type="noConversion"/>
  </si>
  <si>
    <t>출장기간</t>
    <phoneticPr fontId="11" type="noConversion"/>
  </si>
  <si>
    <t>1일 출장비</t>
    <phoneticPr fontId="11" type="noConversion"/>
  </si>
  <si>
    <t>1일 숙박비</t>
    <phoneticPr fontId="11" type="noConversion"/>
  </si>
  <si>
    <t>교통비</t>
    <phoneticPr fontId="11" type="noConversion"/>
  </si>
  <si>
    <t>총 출장비</t>
    <phoneticPr fontId="11" type="noConversion"/>
  </si>
  <si>
    <t>강나루</t>
    <phoneticPr fontId="11" type="noConversion"/>
  </si>
  <si>
    <t>관리부</t>
    <phoneticPr fontId="11" type="noConversion"/>
  </si>
  <si>
    <t>부장</t>
    <phoneticPr fontId="11" type="noConversion"/>
  </si>
  <si>
    <t>전주</t>
    <phoneticPr fontId="11" type="noConversion"/>
  </si>
  <si>
    <t>김우리</t>
    <phoneticPr fontId="11" type="noConversion"/>
  </si>
  <si>
    <t>차장</t>
    <phoneticPr fontId="11" type="noConversion"/>
  </si>
  <si>
    <t>대전</t>
    <phoneticPr fontId="11" type="noConversion"/>
  </si>
  <si>
    <t>황지선</t>
    <phoneticPr fontId="11" type="noConversion"/>
  </si>
  <si>
    <t>기획실</t>
    <phoneticPr fontId="11" type="noConversion"/>
  </si>
  <si>
    <t>사원</t>
    <phoneticPr fontId="11" type="noConversion"/>
  </si>
  <si>
    <t>장만익</t>
    <phoneticPr fontId="11" type="noConversion"/>
  </si>
  <si>
    <t>영업부</t>
    <phoneticPr fontId="11" type="noConversion"/>
  </si>
  <si>
    <t>포항</t>
    <phoneticPr fontId="11" type="noConversion"/>
  </si>
  <si>
    <t>박소영</t>
    <phoneticPr fontId="11" type="noConversion"/>
  </si>
  <si>
    <t>기획실</t>
    <phoneticPr fontId="11" type="noConversion"/>
  </si>
  <si>
    <t>대리</t>
    <phoneticPr fontId="11" type="noConversion"/>
  </si>
  <si>
    <t>제주도</t>
    <phoneticPr fontId="11" type="noConversion"/>
  </si>
  <si>
    <t>정민우</t>
    <phoneticPr fontId="11" type="noConversion"/>
  </si>
  <si>
    <t>차장</t>
    <phoneticPr fontId="11" type="noConversion"/>
  </si>
  <si>
    <t>부산</t>
    <phoneticPr fontId="11" type="noConversion"/>
  </si>
  <si>
    <t>최명민</t>
    <phoneticPr fontId="11" type="noConversion"/>
  </si>
  <si>
    <t>부장</t>
    <phoneticPr fontId="11" type="noConversion"/>
  </si>
  <si>
    <t>부산</t>
    <phoneticPr fontId="11" type="noConversion"/>
  </si>
  <si>
    <t>송나라</t>
    <phoneticPr fontId="11" type="noConversion"/>
  </si>
  <si>
    <t>부산</t>
  </si>
  <si>
    <t>포항</t>
    <phoneticPr fontId="11" type="noConversion"/>
  </si>
  <si>
    <t>장만익</t>
    <phoneticPr fontId="11" type="noConversion"/>
  </si>
  <si>
    <t>강릉</t>
  </si>
  <si>
    <t>김태은</t>
    <phoneticPr fontId="11" type="noConversion"/>
  </si>
  <si>
    <t>대전</t>
    <phoneticPr fontId="11" type="noConversion"/>
  </si>
  <si>
    <t>김미현</t>
    <phoneticPr fontId="11" type="noConversion"/>
  </si>
  <si>
    <t>편집부</t>
    <phoneticPr fontId="11" type="noConversion"/>
  </si>
  <si>
    <t>추석 특별 상여금</t>
    <phoneticPr fontId="4" type="noConversion"/>
  </si>
  <si>
    <t>이름</t>
    <phoneticPr fontId="4" type="noConversion"/>
  </si>
  <si>
    <t>부서</t>
    <phoneticPr fontId="4" type="noConversion"/>
  </si>
  <si>
    <t>고과점수</t>
    <phoneticPr fontId="4" type="noConversion"/>
  </si>
  <si>
    <t>기본급</t>
    <phoneticPr fontId="4" type="noConversion"/>
  </si>
  <si>
    <t>특별상여율</t>
    <phoneticPr fontId="4" type="noConversion"/>
  </si>
  <si>
    <t>수당</t>
    <phoneticPr fontId="4" type="noConversion"/>
  </si>
  <si>
    <t>한정수</t>
  </si>
  <si>
    <t>특수영업팀</t>
    <phoneticPr fontId="4" type="noConversion"/>
  </si>
  <si>
    <t>성경용</t>
  </si>
  <si>
    <t>직판팀</t>
    <phoneticPr fontId="4" type="noConversion"/>
  </si>
  <si>
    <t>정미애</t>
  </si>
  <si>
    <t>해외영업팀</t>
    <phoneticPr fontId="4" type="noConversion"/>
  </si>
  <si>
    <t>박진형</t>
  </si>
  <si>
    <t>쇼핑몰팀</t>
    <phoneticPr fontId="4" type="noConversion"/>
  </si>
  <si>
    <t>장소희</t>
    <phoneticPr fontId="4" type="noConversion"/>
  </si>
  <si>
    <t>대리점팀</t>
    <phoneticPr fontId="4" type="noConversion"/>
  </si>
  <si>
    <t>이성중</t>
    <phoneticPr fontId="4" type="noConversion"/>
  </si>
  <si>
    <t>박소라</t>
    <phoneticPr fontId="4" type="noConversion"/>
  </si>
  <si>
    <t>합계</t>
    <phoneticPr fontId="4" type="noConversion"/>
  </si>
  <si>
    <t>기본상여율</t>
    <phoneticPr fontId="4" type="noConversion"/>
  </si>
  <si>
    <t>특별상여표</t>
    <phoneticPr fontId="4" type="noConversion"/>
  </si>
  <si>
    <t>상여비율</t>
    <phoneticPr fontId="4" type="noConversion"/>
  </si>
  <si>
    <t>[표1] 수강신청현황</t>
    <phoneticPr fontId="4" type="noConversion"/>
  </si>
  <si>
    <t>과목</t>
    <phoneticPr fontId="4" type="noConversion"/>
  </si>
  <si>
    <t>강사</t>
    <phoneticPr fontId="4" type="noConversion"/>
  </si>
  <si>
    <t>수강생</t>
    <phoneticPr fontId="4" type="noConversion"/>
  </si>
  <si>
    <t>수강료</t>
    <phoneticPr fontId="4" type="noConversion"/>
  </si>
  <si>
    <t>금액</t>
    <phoneticPr fontId="4" type="noConversion"/>
  </si>
  <si>
    <t>영어회화</t>
    <phoneticPr fontId="4" type="noConversion"/>
  </si>
  <si>
    <t>문경주</t>
    <phoneticPr fontId="4" type="noConversion"/>
  </si>
  <si>
    <t>토플</t>
    <phoneticPr fontId="4" type="noConversion"/>
  </si>
  <si>
    <t>이찬혁</t>
    <phoneticPr fontId="4" type="noConversion"/>
  </si>
  <si>
    <t>청취</t>
    <phoneticPr fontId="4" type="noConversion"/>
  </si>
  <si>
    <t>우기만</t>
    <phoneticPr fontId="4" type="noConversion"/>
  </si>
  <si>
    <t>토익</t>
    <phoneticPr fontId="4" type="noConversion"/>
  </si>
  <si>
    <t>권정아</t>
    <phoneticPr fontId="4" type="noConversion"/>
  </si>
  <si>
    <t>AFKN 듣기</t>
    <phoneticPr fontId="4" type="noConversion"/>
  </si>
  <si>
    <t>김지윤</t>
    <phoneticPr fontId="4" type="noConversion"/>
  </si>
  <si>
    <t>무역영어</t>
    <phoneticPr fontId="4" type="noConversion"/>
  </si>
  <si>
    <t>문정황</t>
    <phoneticPr fontId="4" type="noConversion"/>
  </si>
  <si>
    <t>시장 점유 우수 기업</t>
    <phoneticPr fontId="4" type="noConversion"/>
  </si>
  <si>
    <t>회사명</t>
    <phoneticPr fontId="4" type="noConversion"/>
  </si>
  <si>
    <t>1월매출</t>
    <phoneticPr fontId="4" type="noConversion"/>
  </si>
  <si>
    <t>1월점유율</t>
    <phoneticPr fontId="4" type="noConversion"/>
  </si>
  <si>
    <t>2월매출</t>
    <phoneticPr fontId="4" type="noConversion"/>
  </si>
  <si>
    <t>2월점유율</t>
    <phoneticPr fontId="4" type="noConversion"/>
  </si>
  <si>
    <t>평균</t>
    <phoneticPr fontId="4" type="noConversion"/>
  </si>
  <si>
    <t>성장율</t>
    <phoneticPr fontId="4" type="noConversion"/>
  </si>
  <si>
    <t>대한</t>
    <phoneticPr fontId="4" type="noConversion"/>
  </si>
  <si>
    <t>영남</t>
    <phoneticPr fontId="4" type="noConversion"/>
  </si>
  <si>
    <t>중흥</t>
    <phoneticPr fontId="4" type="noConversion"/>
  </si>
  <si>
    <t>건영</t>
    <phoneticPr fontId="4" type="noConversion"/>
  </si>
  <si>
    <t>유한</t>
    <phoneticPr fontId="4" type="noConversion"/>
  </si>
  <si>
    <t>가나</t>
    <phoneticPr fontId="4" type="noConversion"/>
  </si>
  <si>
    <t>한국</t>
    <phoneticPr fontId="4" type="noConversion"/>
  </si>
  <si>
    <t>[표2] 교육 출석 현황</t>
    <phoneticPr fontId="4" type="noConversion"/>
  </si>
  <si>
    <t>사원명</t>
    <phoneticPr fontId="4" type="noConversion"/>
  </si>
  <si>
    <t>1일차</t>
    <phoneticPr fontId="4" type="noConversion"/>
  </si>
  <si>
    <t>이수여부</t>
    <phoneticPr fontId="4" type="noConversion"/>
  </si>
  <si>
    <t>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</si>
</sst>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0.000000_ "/>
    <numFmt numFmtId="178" formatCode="0.00_ "/>
    <numFmt numFmtId="179" formatCode="#,##0_ "/>
    <numFmt numFmtId="180" formatCode="yyyy&quot;년&quot;\ m&quot;월&quot;"/>
    <numFmt numFmtId="181" formatCode="mm\/dd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63">
    <xf numFmtId="0" fontId="0" fillId="0" borderId="0" xfId="0">
      <alignment vertical="center"/>
    </xf>
    <xf numFmtId="0" fontId="3" fillId="0" borderId="0" xfId="0" applyNumberFormat="1" applyFont="1" applyAlignment="1">
      <alignment vertical="center"/>
    </xf>
    <xf numFmtId="0" fontId="3" fillId="0" borderId="0" xfId="4" applyFont="1" applyAlignment="1">
      <alignment vertical="center"/>
    </xf>
    <xf numFmtId="14" fontId="3" fillId="0" borderId="0" xfId="4" applyNumberFormat="1" applyFont="1" applyAlignment="1">
      <alignment vertical="center"/>
    </xf>
    <xf numFmtId="0" fontId="3" fillId="0" borderId="0" xfId="4" applyFont="1" applyAlignment="1">
      <alignment vertical="center" wrapText="1"/>
    </xf>
    <xf numFmtId="176" fontId="3" fillId="0" borderId="0" xfId="4" applyNumberFormat="1" applyFont="1" applyAlignment="1">
      <alignment vertical="center"/>
    </xf>
    <xf numFmtId="177" fontId="3" fillId="0" borderId="0" xfId="4" applyNumberFormat="1" applyFont="1" applyAlignment="1">
      <alignment vertical="center"/>
    </xf>
    <xf numFmtId="178" fontId="3" fillId="0" borderId="0" xfId="4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right" vertical="center" wrapText="1"/>
    </xf>
    <xf numFmtId="41" fontId="3" fillId="0" borderId="1" xfId="1" applyFont="1" applyFill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3" fontId="9" fillId="0" borderId="1" xfId="0" applyNumberFormat="1" applyFont="1" applyFill="1" applyBorder="1" applyAlignment="1">
      <alignment horizontal="right" vertical="center" wrapText="1"/>
    </xf>
    <xf numFmtId="0" fontId="7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Border="1" applyAlignment="1">
      <alignment vertical="center"/>
    </xf>
    <xf numFmtId="41" fontId="9" fillId="0" borderId="1" xfId="1" applyFont="1" applyBorder="1" applyAlignment="1">
      <alignment horizontal="justify"/>
    </xf>
    <xf numFmtId="180" fontId="3" fillId="0" borderId="0" xfId="0" applyNumberFormat="1" applyFont="1" applyAlignment="1">
      <alignment horizontal="center" vertic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9" fontId="3" fillId="0" borderId="1" xfId="3" applyFont="1" applyBorder="1" applyAlignment="1">
      <alignment vertical="center"/>
    </xf>
    <xf numFmtId="0" fontId="3" fillId="0" borderId="6" xfId="0" applyFont="1" applyBorder="1" applyAlignment="1">
      <alignment vertical="center"/>
    </xf>
    <xf numFmtId="14" fontId="3" fillId="0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 applyAlignment="1">
      <alignment vertical="center"/>
    </xf>
    <xf numFmtId="41" fontId="12" fillId="0" borderId="0" xfId="1" applyFont="1" applyFill="1" applyBorder="1" applyAlignment="1">
      <alignment vertical="center"/>
    </xf>
    <xf numFmtId="42" fontId="12" fillId="0" borderId="0" xfId="2" applyFont="1" applyFill="1" applyBorder="1" applyAlignment="1">
      <alignment vertical="center"/>
    </xf>
    <xf numFmtId="14" fontId="13" fillId="0" borderId="0" xfId="0" applyNumberFormat="1" applyFont="1" applyFill="1" applyBorder="1" applyAlignment="1">
      <alignment horizontal="left" vertical="center"/>
    </xf>
    <xf numFmtId="14" fontId="3" fillId="0" borderId="0" xfId="0" applyNumberFormat="1" applyFont="1" applyFill="1" applyBorder="1" applyAlignment="1">
      <alignment horizontal="center" vertical="center"/>
    </xf>
    <xf numFmtId="9" fontId="14" fillId="0" borderId="0" xfId="0" applyNumberFormat="1" applyFont="1" applyAlignment="1">
      <alignment vertical="center"/>
    </xf>
    <xf numFmtId="179" fontId="3" fillId="0" borderId="1" xfId="1" applyNumberFormat="1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9" fontId="3" fillId="0" borderId="1" xfId="1" applyNumberFormat="1" applyFont="1" applyBorder="1" applyAlignment="1">
      <alignment horizontal="right" vertical="center"/>
    </xf>
    <xf numFmtId="9" fontId="3" fillId="0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79" fontId="3" fillId="0" borderId="3" xfId="1" applyNumberFormat="1" applyFont="1" applyFill="1" applyBorder="1" applyAlignment="1">
      <alignment horizontal="center" vertical="center"/>
    </xf>
    <xf numFmtId="179" fontId="3" fillId="0" borderId="4" xfId="1" applyNumberFormat="1" applyFont="1" applyFill="1" applyBorder="1" applyAlignment="1">
      <alignment horizontal="center"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41" fontId="3" fillId="0" borderId="3" xfId="1" applyFont="1" applyFill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41" fontId="3" fillId="0" borderId="5" xfId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 wrapText="1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_2급O형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차트작업!$D$3</c:f>
              <c:strCache>
                <c:ptCount val="1"/>
                <c:pt idx="0">
                  <c:v>2월매출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8C2-4B6E-8907-1AD4CE9687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C2-4B6E-8907-1AD4CE9687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8C2-4B6E-8907-1AD4CE9687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8C2-4B6E-8907-1AD4CE96873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8C2-4B6E-8907-1AD4CE96873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C2-4B6E-8907-1AD4CE96873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C2-4B6E-8907-1AD4CE968733}"/>
              </c:ext>
            </c:extLst>
          </c:dPt>
          <c:cat>
            <c:strRef>
              <c:f>차트작업!$A$4:$A$10</c:f>
              <c:strCache>
                <c:ptCount val="7"/>
                <c:pt idx="0">
                  <c:v>대한</c:v>
                </c:pt>
                <c:pt idx="1">
                  <c:v>영남</c:v>
                </c:pt>
                <c:pt idx="2">
                  <c:v>중흥</c:v>
                </c:pt>
                <c:pt idx="3">
                  <c:v>건영</c:v>
                </c:pt>
                <c:pt idx="4">
                  <c:v>유한</c:v>
                </c:pt>
                <c:pt idx="5">
                  <c:v>가나</c:v>
                </c:pt>
                <c:pt idx="6">
                  <c:v>한국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3125</c:v>
                </c:pt>
                <c:pt idx="1">
                  <c:v>2156</c:v>
                </c:pt>
                <c:pt idx="2">
                  <c:v>2465</c:v>
                </c:pt>
                <c:pt idx="3">
                  <c:v>2754</c:v>
                </c:pt>
                <c:pt idx="4">
                  <c:v>2475</c:v>
                </c:pt>
                <c:pt idx="5">
                  <c:v>2487</c:v>
                </c:pt>
                <c:pt idx="6">
                  <c:v>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36-A77B-D56B6A93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3"/>
  <sheetViews>
    <sheetView workbookViewId="0">
      <selection activeCell="E19" sqref="E19"/>
    </sheetView>
  </sheetViews>
  <sheetFormatPr defaultRowHeight="17"/>
  <cols>
    <col min="1" max="1" width="9.9140625" customWidth="1"/>
    <col min="2" max="2" width="9.83203125" customWidth="1"/>
    <col min="4" max="5" width="12.75" customWidth="1"/>
    <col min="6" max="6" width="13.33203125" customWidth="1"/>
  </cols>
  <sheetData>
    <row r="1" spans="1:6">
      <c r="A1" s="2" t="s">
        <v>1</v>
      </c>
      <c r="B1" s="2"/>
      <c r="C1" s="2"/>
      <c r="D1" s="2"/>
      <c r="E1" s="2"/>
      <c r="F1" s="2"/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3">
        <v>46286</v>
      </c>
    </row>
    <row r="4" spans="1:6">
      <c r="A4" s="2" t="s">
        <v>2</v>
      </c>
      <c r="B4" s="2" t="s">
        <v>3</v>
      </c>
      <c r="C4" s="4" t="s">
        <v>4</v>
      </c>
      <c r="D4" s="4" t="s">
        <v>5</v>
      </c>
      <c r="E4" s="2" t="s">
        <v>6</v>
      </c>
      <c r="F4" s="2" t="s">
        <v>7</v>
      </c>
    </row>
    <row r="5" spans="1:6">
      <c r="A5" s="2">
        <v>10023</v>
      </c>
      <c r="B5" s="2" t="s">
        <v>8</v>
      </c>
      <c r="C5" s="2">
        <v>35000</v>
      </c>
      <c r="D5" s="5">
        <v>700000</v>
      </c>
      <c r="E5" s="5">
        <v>1050000</v>
      </c>
      <c r="F5" s="6">
        <f>D5/E5</f>
        <v>0.66666666666666663</v>
      </c>
    </row>
    <row r="6" spans="1:6">
      <c r="A6" s="2">
        <v>10024</v>
      </c>
      <c r="B6" s="2" t="s">
        <v>9</v>
      </c>
      <c r="C6" s="2">
        <v>20000</v>
      </c>
      <c r="D6" s="5">
        <v>560000</v>
      </c>
      <c r="E6" s="5">
        <v>600000</v>
      </c>
      <c r="F6" s="6">
        <f t="shared" ref="F6:F11" si="0">D6/E6</f>
        <v>0.93333333333333335</v>
      </c>
    </row>
    <row r="7" spans="1:6">
      <c r="A7" s="2">
        <v>10025</v>
      </c>
      <c r="B7" s="2" t="s">
        <v>10</v>
      </c>
      <c r="C7" s="2">
        <v>70000</v>
      </c>
      <c r="D7" s="5">
        <v>230000</v>
      </c>
      <c r="E7" s="5">
        <v>2100000</v>
      </c>
      <c r="F7" s="6">
        <f t="shared" si="0"/>
        <v>0.10952380952380952</v>
      </c>
    </row>
    <row r="8" spans="1:6">
      <c r="A8" s="2">
        <v>10026</v>
      </c>
      <c r="B8" s="2" t="s">
        <v>11</v>
      </c>
      <c r="C8" s="2">
        <v>15000</v>
      </c>
      <c r="D8" s="5">
        <v>200000</v>
      </c>
      <c r="E8" s="5">
        <v>270000</v>
      </c>
      <c r="F8" s="6">
        <f t="shared" si="0"/>
        <v>0.7407407407407407</v>
      </c>
    </row>
    <row r="9" spans="1:6">
      <c r="A9" s="2">
        <v>10027</v>
      </c>
      <c r="B9" s="2" t="s">
        <v>12</v>
      </c>
      <c r="C9" s="2">
        <v>25000</v>
      </c>
      <c r="D9" s="5">
        <v>950000</v>
      </c>
      <c r="E9" s="5">
        <v>750000</v>
      </c>
      <c r="F9" s="6">
        <f t="shared" si="0"/>
        <v>1.2666666666666666</v>
      </c>
    </row>
    <row r="10" spans="1:6">
      <c r="A10" s="2">
        <v>10028</v>
      </c>
      <c r="B10" s="2" t="s">
        <v>13</v>
      </c>
      <c r="C10" s="2">
        <v>13000</v>
      </c>
      <c r="D10" s="5">
        <v>234000</v>
      </c>
      <c r="E10" s="5">
        <v>351000</v>
      </c>
      <c r="F10" s="6">
        <f t="shared" si="0"/>
        <v>0.66666666666666663</v>
      </c>
    </row>
    <row r="11" spans="1:6">
      <c r="A11" s="2">
        <v>10029</v>
      </c>
      <c r="B11" s="2" t="s">
        <v>14</v>
      </c>
      <c r="C11" s="2">
        <v>24000</v>
      </c>
      <c r="D11" s="5">
        <v>40000</v>
      </c>
      <c r="E11" s="5">
        <v>54000</v>
      </c>
      <c r="F11" s="6">
        <f t="shared" si="0"/>
        <v>0.7407407407407407</v>
      </c>
    </row>
    <row r="12" spans="1:6">
      <c r="A12" s="2" t="s">
        <v>15</v>
      </c>
      <c r="B12" s="2"/>
      <c r="C12" s="2"/>
      <c r="D12" s="5">
        <f>SUM(D5:D11)</f>
        <v>2914000</v>
      </c>
      <c r="E12" s="5">
        <f>SUM(E5:E11)</f>
        <v>5175000</v>
      </c>
      <c r="F12" s="2"/>
    </row>
    <row r="13" spans="1:6">
      <c r="A13" s="2" t="s">
        <v>16</v>
      </c>
      <c r="B13" s="2"/>
      <c r="C13" s="2"/>
      <c r="D13" s="7">
        <f>AVERAGE(D5:D11)</f>
        <v>416285.71428571426</v>
      </c>
      <c r="E13" s="7">
        <f>AVERAGE(E5:E11)</f>
        <v>739285.71428571432</v>
      </c>
      <c r="F13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I12"/>
  <sheetViews>
    <sheetView workbookViewId="0">
      <selection activeCell="B1" sqref="B1:I1"/>
    </sheetView>
  </sheetViews>
  <sheetFormatPr defaultRowHeight="17"/>
  <cols>
    <col min="1" max="1" width="1.58203125" customWidth="1"/>
    <col min="5" max="7" width="10.75" bestFit="1" customWidth="1"/>
    <col min="8" max="8" width="9.75" customWidth="1"/>
  </cols>
  <sheetData>
    <row r="1" spans="2:9" ht="21">
      <c r="B1" s="50" t="s">
        <v>17</v>
      </c>
      <c r="C1" s="50"/>
      <c r="D1" s="50"/>
      <c r="E1" s="50"/>
      <c r="F1" s="50"/>
      <c r="G1" s="50"/>
      <c r="H1" s="50"/>
      <c r="I1" s="50"/>
    </row>
    <row r="2" spans="2:9" ht="21">
      <c r="B2" s="8"/>
      <c r="C2" s="8"/>
      <c r="D2" s="8"/>
      <c r="E2" s="8"/>
      <c r="F2" s="8"/>
      <c r="G2" s="8"/>
      <c r="H2" s="8"/>
      <c r="I2" s="8"/>
    </row>
    <row r="3" spans="2:9">
      <c r="B3" s="9"/>
      <c r="C3" s="9"/>
      <c r="D3" s="9"/>
      <c r="E3" s="9"/>
      <c r="F3" s="9"/>
      <c r="G3" s="9"/>
      <c r="H3" s="9"/>
      <c r="I3" s="10" t="s">
        <v>18</v>
      </c>
    </row>
    <row r="4" spans="2:9">
      <c r="B4" s="11" t="s">
        <v>19</v>
      </c>
      <c r="C4" s="11" t="s">
        <v>20</v>
      </c>
      <c r="D4" s="11" t="s">
        <v>21</v>
      </c>
      <c r="E4" s="11" t="s">
        <v>22</v>
      </c>
      <c r="F4" s="11" t="s">
        <v>23</v>
      </c>
      <c r="G4" s="11" t="s">
        <v>24</v>
      </c>
      <c r="H4" s="11" t="s">
        <v>25</v>
      </c>
      <c r="I4" s="11" t="s">
        <v>26</v>
      </c>
    </row>
    <row r="5" spans="2:9">
      <c r="B5" s="11" t="s">
        <v>27</v>
      </c>
      <c r="C5" s="11" t="s">
        <v>28</v>
      </c>
      <c r="D5" s="11" t="s">
        <v>29</v>
      </c>
      <c r="E5" s="12">
        <v>46152</v>
      </c>
      <c r="F5" s="12">
        <v>46154</v>
      </c>
      <c r="G5" s="13">
        <v>46174</v>
      </c>
      <c r="H5" s="14">
        <v>300000</v>
      </c>
      <c r="I5" s="11" t="s">
        <v>30</v>
      </c>
    </row>
    <row r="6" spans="2:9">
      <c r="B6" s="11" t="s">
        <v>31</v>
      </c>
      <c r="C6" s="11" t="s">
        <v>32</v>
      </c>
      <c r="D6" s="11" t="s">
        <v>33</v>
      </c>
      <c r="E6" s="12">
        <v>46157</v>
      </c>
      <c r="F6" s="12">
        <v>46159</v>
      </c>
      <c r="G6" s="13">
        <v>46179</v>
      </c>
      <c r="H6" s="14">
        <v>100000</v>
      </c>
      <c r="I6" s="11" t="s">
        <v>34</v>
      </c>
    </row>
    <row r="7" spans="2:9">
      <c r="B7" s="11" t="s">
        <v>35</v>
      </c>
      <c r="C7" s="11" t="s">
        <v>36</v>
      </c>
      <c r="D7" s="11" t="s">
        <v>37</v>
      </c>
      <c r="E7" s="12">
        <v>46090</v>
      </c>
      <c r="F7" s="12">
        <v>46091</v>
      </c>
      <c r="G7" s="13">
        <v>46111</v>
      </c>
      <c r="H7" s="14">
        <v>90000</v>
      </c>
      <c r="I7" s="11" t="s">
        <v>38</v>
      </c>
    </row>
    <row r="8" spans="2:9">
      <c r="B8" s="11" t="s">
        <v>39</v>
      </c>
      <c r="C8" s="11" t="s">
        <v>40</v>
      </c>
      <c r="D8" s="11" t="s">
        <v>41</v>
      </c>
      <c r="E8" s="12">
        <v>46129</v>
      </c>
      <c r="F8" s="12">
        <v>46131</v>
      </c>
      <c r="G8" s="13">
        <v>46151</v>
      </c>
      <c r="H8" s="14">
        <v>89000</v>
      </c>
      <c r="I8" s="11" t="s">
        <v>42</v>
      </c>
    </row>
    <row r="9" spans="2:9">
      <c r="B9" s="11" t="s">
        <v>43</v>
      </c>
      <c r="C9" s="11" t="s">
        <v>44</v>
      </c>
      <c r="D9" s="11" t="s">
        <v>45</v>
      </c>
      <c r="E9" s="12">
        <v>46129</v>
      </c>
      <c r="F9" s="12">
        <v>46132</v>
      </c>
      <c r="G9" s="13">
        <v>46152</v>
      </c>
      <c r="H9" s="14">
        <v>63000</v>
      </c>
      <c r="I9" s="11" t="s">
        <v>38</v>
      </c>
    </row>
    <row r="10" spans="2:9">
      <c r="B10" s="11" t="s">
        <v>46</v>
      </c>
      <c r="C10" s="11" t="s">
        <v>47</v>
      </c>
      <c r="D10" s="11" t="s">
        <v>41</v>
      </c>
      <c r="E10" s="12">
        <v>46176</v>
      </c>
      <c r="F10" s="12">
        <v>46178</v>
      </c>
      <c r="G10" s="13">
        <v>46198</v>
      </c>
      <c r="H10" s="14">
        <v>160000</v>
      </c>
      <c r="I10" s="11" t="s">
        <v>48</v>
      </c>
    </row>
    <row r="11" spans="2:9">
      <c r="B11" s="11" t="s">
        <v>49</v>
      </c>
      <c r="C11" s="11" t="s">
        <v>50</v>
      </c>
      <c r="D11" s="11" t="s">
        <v>45</v>
      </c>
      <c r="E11" s="12">
        <v>46215</v>
      </c>
      <c r="F11" s="12">
        <v>46225</v>
      </c>
      <c r="G11" s="13">
        <v>46245</v>
      </c>
      <c r="H11" s="14">
        <v>330000</v>
      </c>
      <c r="I11" s="11" t="s">
        <v>51</v>
      </c>
    </row>
    <row r="12" spans="2:9">
      <c r="B12" s="11" t="s">
        <v>52</v>
      </c>
      <c r="C12" s="11" t="s">
        <v>53</v>
      </c>
      <c r="D12" s="11" t="s">
        <v>54</v>
      </c>
      <c r="E12" s="12">
        <v>46154</v>
      </c>
      <c r="F12" s="12">
        <v>46156</v>
      </c>
      <c r="G12" s="13">
        <v>46176</v>
      </c>
      <c r="H12" s="14">
        <v>270000</v>
      </c>
      <c r="I12" s="11" t="s">
        <v>34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workbookViewId="0"/>
  </sheetViews>
  <sheetFormatPr defaultRowHeight="17"/>
  <cols>
    <col min="1" max="1" width="13.83203125" customWidth="1"/>
    <col min="2" max="2" width="12.9140625" bestFit="1" customWidth="1"/>
    <col min="6" max="9" width="9.25" customWidth="1"/>
    <col min="10" max="10" width="10.25" customWidth="1"/>
  </cols>
  <sheetData>
    <row r="1" spans="1:10">
      <c r="A1" s="15" t="s">
        <v>55</v>
      </c>
      <c r="B1" s="15"/>
      <c r="C1" s="15"/>
      <c r="D1" s="15"/>
      <c r="E1" s="15" t="s">
        <v>216</v>
      </c>
      <c r="F1" s="15"/>
      <c r="G1" s="15"/>
      <c r="H1" s="15"/>
      <c r="I1" s="15"/>
      <c r="J1" s="16"/>
    </row>
    <row r="2" spans="1:10">
      <c r="A2" s="17" t="s">
        <v>56</v>
      </c>
      <c r="B2" s="17" t="s">
        <v>57</v>
      </c>
      <c r="C2" s="26" t="s">
        <v>58</v>
      </c>
      <c r="D2" s="15"/>
      <c r="E2" s="17" t="s">
        <v>217</v>
      </c>
      <c r="F2" s="17" t="s">
        <v>218</v>
      </c>
      <c r="G2" s="17" t="s">
        <v>59</v>
      </c>
      <c r="H2" s="17" t="s">
        <v>60</v>
      </c>
      <c r="I2" s="17" t="s">
        <v>61</v>
      </c>
      <c r="J2" s="26" t="s">
        <v>219</v>
      </c>
    </row>
    <row r="3" spans="1:10">
      <c r="A3" s="18" t="s">
        <v>62</v>
      </c>
      <c r="B3" s="19">
        <v>8.1</v>
      </c>
      <c r="C3" s="17"/>
      <c r="D3" s="15"/>
      <c r="E3" s="17" t="s">
        <v>63</v>
      </c>
      <c r="F3" s="17" t="s">
        <v>64</v>
      </c>
      <c r="G3" s="17"/>
      <c r="H3" s="17" t="s">
        <v>220</v>
      </c>
      <c r="I3" s="17" t="s">
        <v>220</v>
      </c>
      <c r="J3" s="11"/>
    </row>
    <row r="4" spans="1:10">
      <c r="A4" s="18" t="s">
        <v>65</v>
      </c>
      <c r="B4" s="19">
        <v>10.5</v>
      </c>
      <c r="C4" s="17"/>
      <c r="D4" s="15"/>
      <c r="E4" s="17" t="s">
        <v>66</v>
      </c>
      <c r="F4" s="17" t="s">
        <v>64</v>
      </c>
      <c r="G4" s="17"/>
      <c r="H4" s="17" t="s">
        <v>64</v>
      </c>
      <c r="I4" s="17" t="s">
        <v>64</v>
      </c>
      <c r="J4" s="11"/>
    </row>
    <row r="5" spans="1:10">
      <c r="A5" s="18" t="s">
        <v>67</v>
      </c>
      <c r="B5" s="19">
        <v>3.5</v>
      </c>
      <c r="C5" s="17"/>
      <c r="D5" s="15"/>
      <c r="E5" s="17" t="s">
        <v>68</v>
      </c>
      <c r="F5" s="17"/>
      <c r="G5" s="17" t="s">
        <v>220</v>
      </c>
      <c r="H5" s="17"/>
      <c r="I5" s="17" t="s">
        <v>220</v>
      </c>
      <c r="J5" s="11"/>
    </row>
    <row r="6" spans="1:10">
      <c r="A6" s="18" t="s">
        <v>69</v>
      </c>
      <c r="B6" s="19">
        <v>9.4</v>
      </c>
      <c r="C6" s="17"/>
      <c r="D6" s="15"/>
      <c r="E6" s="17" t="s">
        <v>70</v>
      </c>
      <c r="F6" s="17" t="s">
        <v>220</v>
      </c>
      <c r="G6" s="17"/>
      <c r="H6" s="17"/>
      <c r="I6" s="17"/>
      <c r="J6" s="11"/>
    </row>
    <row r="7" spans="1:10">
      <c r="A7" s="18" t="s">
        <v>71</v>
      </c>
      <c r="B7" s="19">
        <v>62.7</v>
      </c>
      <c r="C7" s="17"/>
      <c r="D7" s="15"/>
      <c r="E7" s="17" t="s">
        <v>72</v>
      </c>
      <c r="F7" s="17" t="s">
        <v>220</v>
      </c>
      <c r="G7" s="17" t="s">
        <v>220</v>
      </c>
      <c r="H7" s="17"/>
      <c r="I7" s="17" t="s">
        <v>220</v>
      </c>
      <c r="J7" s="11"/>
    </row>
    <row r="8" spans="1:10">
      <c r="A8" s="15"/>
      <c r="B8" s="15"/>
      <c r="C8" s="15"/>
      <c r="D8" s="15"/>
      <c r="E8" s="15"/>
      <c r="F8" s="15"/>
      <c r="G8" s="15"/>
      <c r="H8" s="15"/>
      <c r="I8" s="15"/>
      <c r="J8" s="15"/>
    </row>
    <row r="9" spans="1:10">
      <c r="A9" s="15" t="s">
        <v>73</v>
      </c>
      <c r="B9" s="15"/>
      <c r="C9" s="15"/>
      <c r="D9" s="15"/>
      <c r="E9" s="15" t="s">
        <v>74</v>
      </c>
      <c r="F9" s="15"/>
      <c r="G9" s="15"/>
      <c r="H9" s="15"/>
      <c r="I9" s="15"/>
      <c r="J9" s="16"/>
    </row>
    <row r="10" spans="1:10">
      <c r="A10" s="17" t="s">
        <v>75</v>
      </c>
      <c r="B10" s="17" t="s">
        <v>76</v>
      </c>
      <c r="C10" s="26" t="s">
        <v>77</v>
      </c>
      <c r="D10" s="15"/>
      <c r="E10" s="17" t="s">
        <v>78</v>
      </c>
      <c r="F10" s="17" t="s">
        <v>79</v>
      </c>
      <c r="G10" s="26" t="s">
        <v>80</v>
      </c>
      <c r="H10" s="15"/>
      <c r="I10" s="17" t="s">
        <v>81</v>
      </c>
      <c r="J10" s="16"/>
    </row>
    <row r="11" spans="1:10">
      <c r="A11" s="17" t="s">
        <v>82</v>
      </c>
      <c r="B11" s="17" t="s">
        <v>83</v>
      </c>
      <c r="C11" s="17"/>
      <c r="D11" s="15"/>
      <c r="E11" s="17" t="s">
        <v>32</v>
      </c>
      <c r="F11" s="20">
        <v>273</v>
      </c>
      <c r="G11" s="21"/>
      <c r="H11" s="15"/>
      <c r="I11" s="17">
        <v>280</v>
      </c>
      <c r="J11" s="16"/>
    </row>
    <row r="12" spans="1:10">
      <c r="A12" s="17" t="s">
        <v>84</v>
      </c>
      <c r="B12" s="17" t="s">
        <v>85</v>
      </c>
      <c r="C12" s="17"/>
      <c r="D12" s="15"/>
      <c r="E12" s="17" t="s">
        <v>36</v>
      </c>
      <c r="F12" s="20">
        <v>250</v>
      </c>
      <c r="G12" s="21"/>
      <c r="H12" s="15"/>
      <c r="I12" s="17">
        <v>240</v>
      </c>
      <c r="J12" s="16"/>
    </row>
    <row r="13" spans="1:10">
      <c r="A13" s="17" t="s">
        <v>86</v>
      </c>
      <c r="B13" s="17" t="s">
        <v>87</v>
      </c>
      <c r="C13" s="17"/>
      <c r="D13" s="15"/>
      <c r="E13" s="17" t="s">
        <v>40</v>
      </c>
      <c r="F13" s="20">
        <v>234</v>
      </c>
      <c r="G13" s="21"/>
      <c r="H13" s="15"/>
      <c r="I13" s="17">
        <v>210</v>
      </c>
      <c r="J13" s="16"/>
    </row>
    <row r="14" spans="1:10">
      <c r="A14" s="17" t="s">
        <v>88</v>
      </c>
      <c r="B14" s="17" t="s">
        <v>89</v>
      </c>
      <c r="C14" s="17"/>
      <c r="D14" s="15"/>
      <c r="E14" s="17" t="s">
        <v>44</v>
      </c>
      <c r="F14" s="20">
        <v>200</v>
      </c>
      <c r="G14" s="21"/>
      <c r="H14" s="15"/>
      <c r="I14" s="17">
        <v>180</v>
      </c>
      <c r="J14" s="16"/>
    </row>
    <row r="15" spans="1:10">
      <c r="A15" s="17" t="s">
        <v>90</v>
      </c>
      <c r="B15" s="17" t="s">
        <v>91</v>
      </c>
      <c r="C15" s="17"/>
      <c r="D15" s="15"/>
      <c r="E15" s="17" t="s">
        <v>47</v>
      </c>
      <c r="F15" s="20">
        <v>180</v>
      </c>
      <c r="G15" s="21"/>
      <c r="H15" s="15"/>
      <c r="I15" s="17">
        <v>150</v>
      </c>
      <c r="J15" s="16"/>
    </row>
    <row r="16" spans="1:10">
      <c r="A16" s="17" t="s">
        <v>92</v>
      </c>
      <c r="B16" s="17" t="s">
        <v>93</v>
      </c>
      <c r="C16" s="17"/>
      <c r="D16" s="15"/>
      <c r="E16" s="17" t="s">
        <v>50</v>
      </c>
      <c r="F16" s="20">
        <v>134</v>
      </c>
      <c r="G16" s="21"/>
      <c r="H16" s="15"/>
      <c r="I16" s="15"/>
      <c r="J16" s="16"/>
    </row>
    <row r="17" spans="1:10">
      <c r="A17" s="22" t="s">
        <v>94</v>
      </c>
      <c r="B17" s="15"/>
      <c r="C17" s="15"/>
      <c r="D17" s="15"/>
      <c r="E17" s="15"/>
      <c r="F17" s="15"/>
      <c r="G17" s="15"/>
      <c r="H17" s="15"/>
      <c r="I17" s="15"/>
      <c r="J17" s="15"/>
    </row>
    <row r="18" spans="1:10">
      <c r="A18" s="17" t="s">
        <v>95</v>
      </c>
      <c r="B18" s="21" t="s">
        <v>96</v>
      </c>
      <c r="C18" s="21" t="s">
        <v>97</v>
      </c>
      <c r="D18" s="21" t="s">
        <v>98</v>
      </c>
      <c r="E18" s="15"/>
      <c r="F18" s="15"/>
      <c r="G18" s="15"/>
      <c r="H18" s="15"/>
      <c r="I18" s="15"/>
      <c r="J18" s="15"/>
    </row>
    <row r="19" spans="1:10">
      <c r="A19" s="17" t="s">
        <v>99</v>
      </c>
      <c r="B19" s="17" t="s">
        <v>100</v>
      </c>
      <c r="C19" s="17" t="s">
        <v>101</v>
      </c>
      <c r="D19" s="17" t="s">
        <v>102</v>
      </c>
      <c r="E19" s="15"/>
      <c r="F19" s="15"/>
      <c r="G19" s="15"/>
      <c r="H19" s="15"/>
      <c r="I19" s="15"/>
      <c r="J19" s="15"/>
    </row>
    <row r="20" spans="1:10">
      <c r="A20" s="23"/>
      <c r="B20" s="23"/>
      <c r="C20" s="23"/>
      <c r="D20" s="23"/>
      <c r="E20" s="23"/>
      <c r="F20" s="15"/>
      <c r="G20" s="15"/>
      <c r="H20" s="15"/>
      <c r="I20" s="15"/>
      <c r="J20" s="15"/>
    </row>
    <row r="21" spans="1:10">
      <c r="A21" s="15" t="s">
        <v>103</v>
      </c>
      <c r="B21" s="15"/>
      <c r="C21" s="15"/>
      <c r="D21" s="15"/>
      <c r="E21" s="15"/>
      <c r="F21" s="15"/>
      <c r="G21" s="15"/>
      <c r="H21" s="15"/>
      <c r="I21" s="15"/>
      <c r="J21" s="15"/>
    </row>
    <row r="22" spans="1:10">
      <c r="A22" s="17" t="s">
        <v>104</v>
      </c>
      <c r="B22" s="17" t="s">
        <v>105</v>
      </c>
      <c r="C22" s="17" t="s">
        <v>106</v>
      </c>
      <c r="D22" s="15"/>
      <c r="E22" s="17"/>
      <c r="F22" s="15"/>
      <c r="G22" s="15"/>
      <c r="H22" s="15"/>
      <c r="I22" s="15"/>
      <c r="J22" s="15"/>
    </row>
    <row r="23" spans="1:10">
      <c r="A23" s="24" t="s">
        <v>107</v>
      </c>
      <c r="B23" s="24" t="s">
        <v>108</v>
      </c>
      <c r="C23" s="25">
        <v>2761</v>
      </c>
      <c r="D23" s="15"/>
      <c r="E23" s="24"/>
      <c r="F23" s="15"/>
      <c r="G23" s="15"/>
      <c r="H23" s="15"/>
      <c r="I23" s="15"/>
      <c r="J23" s="15"/>
    </row>
    <row r="24" spans="1:10">
      <c r="A24" s="24" t="s">
        <v>107</v>
      </c>
      <c r="B24" s="24" t="s">
        <v>109</v>
      </c>
      <c r="C24" s="25">
        <v>2624</v>
      </c>
      <c r="D24" s="15"/>
      <c r="E24" s="15"/>
      <c r="F24" s="15"/>
      <c r="G24" s="15"/>
      <c r="H24" s="15"/>
      <c r="I24" s="15"/>
      <c r="J24" s="15"/>
    </row>
    <row r="25" spans="1:10">
      <c r="A25" s="24" t="s">
        <v>110</v>
      </c>
      <c r="B25" s="24" t="s">
        <v>111</v>
      </c>
      <c r="C25" s="25">
        <v>5586</v>
      </c>
      <c r="D25" s="15"/>
      <c r="E25" s="15"/>
      <c r="F25" s="15"/>
      <c r="G25" s="15"/>
      <c r="H25" s="15"/>
      <c r="I25" s="15"/>
      <c r="J25" s="15"/>
    </row>
    <row r="26" spans="1:10">
      <c r="A26" s="24" t="s">
        <v>110</v>
      </c>
      <c r="B26" s="24" t="s">
        <v>112</v>
      </c>
      <c r="C26" s="19">
        <v>671</v>
      </c>
      <c r="D26" s="15"/>
      <c r="E26" s="51" t="s">
        <v>113</v>
      </c>
      <c r="F26" s="52"/>
      <c r="G26" s="53"/>
      <c r="H26" s="15"/>
      <c r="I26" s="15"/>
      <c r="J26" s="15"/>
    </row>
    <row r="27" spans="1:10">
      <c r="A27" s="24" t="s">
        <v>114</v>
      </c>
      <c r="B27" s="24" t="s">
        <v>108</v>
      </c>
      <c r="C27" s="25">
        <v>8531</v>
      </c>
      <c r="D27" s="15"/>
      <c r="E27" s="54"/>
      <c r="F27" s="55"/>
      <c r="G27" s="56"/>
      <c r="H27" s="15"/>
      <c r="I27" s="15"/>
      <c r="J27" s="15"/>
    </row>
    <row r="28" spans="1:10">
      <c r="A28" s="24" t="s">
        <v>115</v>
      </c>
      <c r="B28" s="24" t="s">
        <v>116</v>
      </c>
      <c r="C28" s="25">
        <v>2822</v>
      </c>
      <c r="D28" s="15"/>
      <c r="E28" s="15"/>
      <c r="F28" s="15"/>
      <c r="G28" s="15"/>
      <c r="H28" s="15"/>
      <c r="I28" s="15"/>
      <c r="J28" s="15"/>
    </row>
  </sheetData>
  <mergeCells count="2">
    <mergeCell ref="E26:G26"/>
    <mergeCell ref="E27:G27"/>
  </mergeCells>
  <phoneticPr fontId="1" type="noConversion"/>
  <pageMargins left="0.7" right="0.7" top="0.75" bottom="0.75" header="0.3" footer="0.3"/>
  <ignoredErrors>
    <ignoredError sqref="B18:D1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J15"/>
  <sheetViews>
    <sheetView workbookViewId="0">
      <selection activeCell="J15" sqref="J15"/>
    </sheetView>
  </sheetViews>
  <sheetFormatPr defaultRowHeight="17"/>
  <cols>
    <col min="1" max="1" width="1.58203125" customWidth="1"/>
    <col min="7" max="7" width="10.75" customWidth="1"/>
    <col min="8" max="8" width="11.5" customWidth="1"/>
    <col min="10" max="10" width="10.75" bestFit="1" customWidth="1"/>
  </cols>
  <sheetData>
    <row r="1" spans="2:10" ht="25.5">
      <c r="B1" s="57" t="s">
        <v>117</v>
      </c>
      <c r="C1" s="57"/>
      <c r="D1" s="57"/>
      <c r="E1" s="57"/>
      <c r="F1" s="57"/>
      <c r="G1" s="57"/>
      <c r="H1" s="57"/>
      <c r="I1" s="57"/>
      <c r="J1" s="57"/>
    </row>
    <row r="2" spans="2:10">
      <c r="B2" s="27"/>
      <c r="C2" s="27"/>
      <c r="D2" s="27"/>
      <c r="E2" s="27"/>
      <c r="F2" s="27"/>
      <c r="G2" s="27"/>
      <c r="H2" s="27"/>
      <c r="I2" s="28" t="s">
        <v>118</v>
      </c>
      <c r="J2" s="29">
        <v>46303</v>
      </c>
    </row>
    <row r="3" spans="2:10">
      <c r="B3" s="17" t="s">
        <v>119</v>
      </c>
      <c r="C3" s="17" t="s">
        <v>120</v>
      </c>
      <c r="D3" s="17" t="s">
        <v>121</v>
      </c>
      <c r="E3" s="17" t="s">
        <v>122</v>
      </c>
      <c r="F3" s="30" t="s">
        <v>123</v>
      </c>
      <c r="G3" s="30" t="s">
        <v>124</v>
      </c>
      <c r="H3" s="30" t="s">
        <v>125</v>
      </c>
      <c r="I3" s="17" t="s">
        <v>126</v>
      </c>
      <c r="J3" s="30" t="s">
        <v>127</v>
      </c>
    </row>
    <row r="4" spans="2:10">
      <c r="B4" s="11" t="s">
        <v>128</v>
      </c>
      <c r="C4" s="11" t="s">
        <v>129</v>
      </c>
      <c r="D4" s="11" t="s">
        <v>130</v>
      </c>
      <c r="E4" s="13" t="s">
        <v>131</v>
      </c>
      <c r="F4" s="31">
        <v>3</v>
      </c>
      <c r="G4" s="31">
        <v>80000</v>
      </c>
      <c r="H4" s="31">
        <v>40000</v>
      </c>
      <c r="I4" s="31">
        <v>40000</v>
      </c>
      <c r="J4" s="32">
        <f>(G4+H4)*F4+I4</f>
        <v>400000</v>
      </c>
    </row>
    <row r="5" spans="2:10">
      <c r="B5" s="11" t="s">
        <v>132</v>
      </c>
      <c r="C5" s="11" t="s">
        <v>129</v>
      </c>
      <c r="D5" s="11" t="s">
        <v>133</v>
      </c>
      <c r="E5" s="13" t="s">
        <v>134</v>
      </c>
      <c r="F5" s="31">
        <v>3</v>
      </c>
      <c r="G5" s="31">
        <v>65000</v>
      </c>
      <c r="H5" s="31">
        <v>35000</v>
      </c>
      <c r="I5" s="31">
        <v>28000</v>
      </c>
      <c r="J5" s="32">
        <f t="shared" ref="J5:J15" si="0">(G5+H5)*F5+I5</f>
        <v>328000</v>
      </c>
    </row>
    <row r="6" spans="2:10">
      <c r="B6" s="11" t="s">
        <v>135</v>
      </c>
      <c r="C6" s="11" t="s">
        <v>136</v>
      </c>
      <c r="D6" s="11" t="s">
        <v>137</v>
      </c>
      <c r="E6" s="13" t="s">
        <v>131</v>
      </c>
      <c r="F6" s="31">
        <v>2</v>
      </c>
      <c r="G6" s="31">
        <v>35000</v>
      </c>
      <c r="H6" s="31">
        <v>30000</v>
      </c>
      <c r="I6" s="31">
        <v>31000</v>
      </c>
      <c r="J6" s="32">
        <f t="shared" si="0"/>
        <v>161000</v>
      </c>
    </row>
    <row r="7" spans="2:10">
      <c r="B7" s="11" t="s">
        <v>138</v>
      </c>
      <c r="C7" s="11" t="s">
        <v>139</v>
      </c>
      <c r="D7" s="11" t="s">
        <v>137</v>
      </c>
      <c r="E7" s="13" t="s">
        <v>140</v>
      </c>
      <c r="F7" s="31">
        <v>5</v>
      </c>
      <c r="G7" s="31">
        <v>35000</v>
      </c>
      <c r="H7" s="31">
        <v>30000</v>
      </c>
      <c r="I7" s="31">
        <v>41000</v>
      </c>
      <c r="J7" s="32">
        <f t="shared" si="0"/>
        <v>366000</v>
      </c>
    </row>
    <row r="8" spans="2:10">
      <c r="B8" s="11" t="s">
        <v>141</v>
      </c>
      <c r="C8" s="11" t="s">
        <v>142</v>
      </c>
      <c r="D8" s="11" t="s">
        <v>143</v>
      </c>
      <c r="E8" s="13" t="s">
        <v>144</v>
      </c>
      <c r="F8" s="31">
        <v>2</v>
      </c>
      <c r="G8" s="31">
        <v>50000</v>
      </c>
      <c r="H8" s="31">
        <v>30000</v>
      </c>
      <c r="I8" s="31">
        <v>50000</v>
      </c>
      <c r="J8" s="32">
        <f t="shared" si="0"/>
        <v>210000</v>
      </c>
    </row>
    <row r="9" spans="2:10">
      <c r="B9" s="11" t="s">
        <v>145</v>
      </c>
      <c r="C9" s="11" t="s">
        <v>139</v>
      </c>
      <c r="D9" s="11" t="s">
        <v>146</v>
      </c>
      <c r="E9" s="13" t="s">
        <v>147</v>
      </c>
      <c r="F9" s="31">
        <v>6</v>
      </c>
      <c r="G9" s="31">
        <v>65000</v>
      </c>
      <c r="H9" s="31">
        <v>35000</v>
      </c>
      <c r="I9" s="31">
        <v>47000</v>
      </c>
      <c r="J9" s="32">
        <f t="shared" si="0"/>
        <v>647000</v>
      </c>
    </row>
    <row r="10" spans="2:10">
      <c r="B10" s="11" t="s">
        <v>148</v>
      </c>
      <c r="C10" s="11" t="s">
        <v>139</v>
      </c>
      <c r="D10" s="11" t="s">
        <v>149</v>
      </c>
      <c r="E10" s="13" t="s">
        <v>150</v>
      </c>
      <c r="F10" s="31">
        <v>1</v>
      </c>
      <c r="G10" s="31">
        <v>80000</v>
      </c>
      <c r="H10" s="31">
        <v>40000</v>
      </c>
      <c r="I10" s="31">
        <v>50000</v>
      </c>
      <c r="J10" s="32">
        <f t="shared" si="0"/>
        <v>170000</v>
      </c>
    </row>
    <row r="11" spans="2:10">
      <c r="B11" s="11" t="s">
        <v>151</v>
      </c>
      <c r="C11" s="11" t="s">
        <v>142</v>
      </c>
      <c r="D11" s="11" t="s">
        <v>133</v>
      </c>
      <c r="E11" s="13" t="s">
        <v>152</v>
      </c>
      <c r="F11" s="31">
        <v>2</v>
      </c>
      <c r="G11" s="31">
        <v>65000</v>
      </c>
      <c r="H11" s="31">
        <v>35000</v>
      </c>
      <c r="I11" s="31">
        <v>47000</v>
      </c>
      <c r="J11" s="32">
        <f t="shared" si="0"/>
        <v>247000</v>
      </c>
    </row>
    <row r="12" spans="2:10">
      <c r="B12" s="11" t="s">
        <v>135</v>
      </c>
      <c r="C12" s="11" t="s">
        <v>142</v>
      </c>
      <c r="D12" s="11" t="s">
        <v>137</v>
      </c>
      <c r="E12" s="13" t="s">
        <v>153</v>
      </c>
      <c r="F12" s="31">
        <v>2</v>
      </c>
      <c r="G12" s="31">
        <v>80000</v>
      </c>
      <c r="H12" s="31">
        <v>40000</v>
      </c>
      <c r="I12" s="31">
        <v>50000</v>
      </c>
      <c r="J12" s="32">
        <f t="shared" si="0"/>
        <v>290000</v>
      </c>
    </row>
    <row r="13" spans="2:10">
      <c r="B13" s="11" t="s">
        <v>154</v>
      </c>
      <c r="C13" s="11" t="s">
        <v>139</v>
      </c>
      <c r="D13" s="11" t="s">
        <v>137</v>
      </c>
      <c r="E13" s="13" t="s">
        <v>155</v>
      </c>
      <c r="F13" s="31">
        <v>2</v>
      </c>
      <c r="G13" s="31">
        <v>35000</v>
      </c>
      <c r="H13" s="31">
        <v>30000</v>
      </c>
      <c r="I13" s="31">
        <v>24000</v>
      </c>
      <c r="J13" s="32">
        <f t="shared" si="0"/>
        <v>154000</v>
      </c>
    </row>
    <row r="14" spans="2:10">
      <c r="B14" s="11" t="s">
        <v>156</v>
      </c>
      <c r="C14" s="11" t="s">
        <v>139</v>
      </c>
      <c r="D14" s="11" t="s">
        <v>143</v>
      </c>
      <c r="E14" s="13" t="s">
        <v>157</v>
      </c>
      <c r="F14" s="31">
        <v>5</v>
      </c>
      <c r="G14" s="31">
        <v>50000</v>
      </c>
      <c r="H14" s="31">
        <v>30000</v>
      </c>
      <c r="I14" s="31">
        <v>26000</v>
      </c>
      <c r="J14" s="32">
        <f t="shared" si="0"/>
        <v>426000</v>
      </c>
    </row>
    <row r="15" spans="2:10">
      <c r="B15" s="11" t="s">
        <v>158</v>
      </c>
      <c r="C15" s="11" t="s">
        <v>159</v>
      </c>
      <c r="D15" s="11" t="s">
        <v>149</v>
      </c>
      <c r="E15" s="13" t="s">
        <v>144</v>
      </c>
      <c r="F15" s="31">
        <v>1</v>
      </c>
      <c r="G15" s="31">
        <v>80000</v>
      </c>
      <c r="H15" s="31">
        <v>40000</v>
      </c>
      <c r="I15" s="31">
        <v>60000</v>
      </c>
      <c r="J15" s="32">
        <f t="shared" si="0"/>
        <v>180000</v>
      </c>
    </row>
  </sheetData>
  <mergeCells count="1">
    <mergeCell ref="B1:J1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21"/>
  <sheetViews>
    <sheetView workbookViewId="0">
      <selection activeCell="G3" sqref="G3"/>
    </sheetView>
  </sheetViews>
  <sheetFormatPr defaultRowHeight="17"/>
  <cols>
    <col min="1" max="1" width="1.58203125" customWidth="1"/>
    <col min="2" max="3" width="10.4140625" bestFit="1" customWidth="1"/>
    <col min="5" max="5" width="10.58203125" bestFit="1" customWidth="1"/>
    <col min="6" max="6" width="10.4140625" bestFit="1" customWidth="1"/>
    <col min="7" max="7" width="11.6640625" bestFit="1" customWidth="1"/>
  </cols>
  <sheetData>
    <row r="1" spans="2:7" ht="25.5">
      <c r="B1" s="58" t="s">
        <v>160</v>
      </c>
      <c r="C1" s="58"/>
      <c r="D1" s="58"/>
      <c r="E1" s="58"/>
      <c r="F1" s="58"/>
      <c r="G1" s="58"/>
    </row>
    <row r="2" spans="2:7">
      <c r="B2" s="9"/>
      <c r="C2" s="9"/>
      <c r="D2" s="9"/>
      <c r="E2" s="9"/>
      <c r="F2" s="9"/>
      <c r="G2" s="33">
        <v>46285</v>
      </c>
    </row>
    <row r="3" spans="2:7">
      <c r="B3" s="17" t="s">
        <v>161</v>
      </c>
      <c r="C3" s="11" t="s">
        <v>162</v>
      </c>
      <c r="D3" s="17" t="s">
        <v>163</v>
      </c>
      <c r="E3" s="17" t="s">
        <v>164</v>
      </c>
      <c r="F3" s="11" t="s">
        <v>165</v>
      </c>
      <c r="G3" s="11" t="s">
        <v>166</v>
      </c>
    </row>
    <row r="4" spans="2:7">
      <c r="B4" s="34" t="s">
        <v>167</v>
      </c>
      <c r="C4" s="11" t="s">
        <v>168</v>
      </c>
      <c r="D4" s="35">
        <v>10</v>
      </c>
      <c r="E4" s="20">
        <v>1200000</v>
      </c>
      <c r="F4" s="36">
        <f>VLOOKUP(D4,$B$17:$C$21,2)</f>
        <v>3</v>
      </c>
      <c r="G4" s="31">
        <f t="shared" ref="G4:G10" si="0">E4*(F4+$C$13)</f>
        <v>3720000</v>
      </c>
    </row>
    <row r="5" spans="2:7">
      <c r="B5" s="34" t="s">
        <v>169</v>
      </c>
      <c r="C5" s="11" t="s">
        <v>170</v>
      </c>
      <c r="D5" s="35">
        <v>8</v>
      </c>
      <c r="E5" s="20">
        <v>1350000</v>
      </c>
      <c r="F5" s="36">
        <f t="shared" ref="F5:F10" si="1">VLOOKUP(D5,$B$17:$C$21,2)</f>
        <v>3</v>
      </c>
      <c r="G5" s="31">
        <f t="shared" si="0"/>
        <v>4185000</v>
      </c>
    </row>
    <row r="6" spans="2:7">
      <c r="B6" s="34" t="s">
        <v>171</v>
      </c>
      <c r="C6" s="11" t="s">
        <v>172</v>
      </c>
      <c r="D6" s="35">
        <v>6</v>
      </c>
      <c r="E6" s="20">
        <v>1450000</v>
      </c>
      <c r="F6" s="36">
        <f t="shared" si="1"/>
        <v>2</v>
      </c>
      <c r="G6" s="31">
        <f t="shared" si="0"/>
        <v>3045000</v>
      </c>
    </row>
    <row r="7" spans="2:7">
      <c r="B7" s="34" t="s">
        <v>173</v>
      </c>
      <c r="C7" s="17" t="s">
        <v>174</v>
      </c>
      <c r="D7" s="35">
        <v>4</v>
      </c>
      <c r="E7" s="20">
        <v>1350000</v>
      </c>
      <c r="F7" s="36">
        <f t="shared" si="1"/>
        <v>1.5</v>
      </c>
      <c r="G7" s="31">
        <f t="shared" si="0"/>
        <v>2160000</v>
      </c>
    </row>
    <row r="8" spans="2:7">
      <c r="B8" s="34" t="s">
        <v>175</v>
      </c>
      <c r="C8" s="11" t="s">
        <v>176</v>
      </c>
      <c r="D8" s="35">
        <v>7</v>
      </c>
      <c r="E8" s="20">
        <v>1350000</v>
      </c>
      <c r="F8" s="36">
        <f t="shared" si="1"/>
        <v>2</v>
      </c>
      <c r="G8" s="31">
        <f t="shared" si="0"/>
        <v>2835000</v>
      </c>
    </row>
    <row r="9" spans="2:7">
      <c r="B9" s="34" t="s">
        <v>177</v>
      </c>
      <c r="C9" s="17" t="s">
        <v>174</v>
      </c>
      <c r="D9" s="35">
        <v>4</v>
      </c>
      <c r="E9" s="20">
        <v>1450000</v>
      </c>
      <c r="F9" s="36">
        <f t="shared" si="1"/>
        <v>1.5</v>
      </c>
      <c r="G9" s="31">
        <f t="shared" si="0"/>
        <v>2320000</v>
      </c>
    </row>
    <row r="10" spans="2:7">
      <c r="B10" s="34" t="s">
        <v>178</v>
      </c>
      <c r="C10" s="11" t="s">
        <v>170</v>
      </c>
      <c r="D10" s="35">
        <v>6</v>
      </c>
      <c r="E10" s="20">
        <v>1450000</v>
      </c>
      <c r="F10" s="36">
        <f t="shared" si="1"/>
        <v>2</v>
      </c>
      <c r="G10" s="31">
        <f t="shared" si="0"/>
        <v>3045000</v>
      </c>
    </row>
    <row r="11" spans="2:7">
      <c r="B11" s="59" t="s">
        <v>179</v>
      </c>
      <c r="C11" s="60"/>
      <c r="D11" s="61"/>
      <c r="E11" s="31">
        <f>SUM(E4:E10)</f>
        <v>9600000</v>
      </c>
      <c r="F11" s="37"/>
      <c r="G11" s="31">
        <f>SUM(G4:G10)</f>
        <v>21310000</v>
      </c>
    </row>
    <row r="12" spans="2:7">
      <c r="B12" s="9"/>
      <c r="C12" s="9"/>
      <c r="D12" s="9"/>
      <c r="E12" s="9"/>
      <c r="F12" s="9"/>
      <c r="G12" s="9"/>
    </row>
    <row r="13" spans="2:7">
      <c r="B13" s="38" t="s">
        <v>180</v>
      </c>
      <c r="C13" s="39">
        <v>0.1</v>
      </c>
      <c r="D13" s="9"/>
      <c r="E13" s="40"/>
      <c r="F13" s="40"/>
      <c r="G13" s="41"/>
    </row>
    <row r="14" spans="2:7">
      <c r="B14" s="42"/>
      <c r="C14" s="43"/>
      <c r="D14" s="44"/>
      <c r="E14" s="40"/>
      <c r="F14" s="9"/>
      <c r="G14" s="9"/>
    </row>
    <row r="15" spans="2:7">
      <c r="B15" s="62" t="s">
        <v>181</v>
      </c>
      <c r="C15" s="62"/>
      <c r="D15" s="44"/>
      <c r="E15" s="40"/>
      <c r="F15" s="9"/>
      <c r="G15" s="9"/>
    </row>
    <row r="16" spans="2:7">
      <c r="B16" s="17" t="s">
        <v>163</v>
      </c>
      <c r="C16" s="17" t="s">
        <v>182</v>
      </c>
      <c r="D16" s="9"/>
      <c r="E16" s="9"/>
      <c r="F16" s="9"/>
      <c r="G16" s="9"/>
    </row>
    <row r="17" spans="2:7">
      <c r="B17" s="45">
        <v>0</v>
      </c>
      <c r="C17" s="46">
        <v>0</v>
      </c>
      <c r="D17" s="9"/>
      <c r="E17" s="9"/>
      <c r="F17" s="9"/>
      <c r="G17" s="9"/>
    </row>
    <row r="18" spans="2:7">
      <c r="B18" s="45">
        <v>1</v>
      </c>
      <c r="C18" s="46">
        <v>1</v>
      </c>
      <c r="D18" s="9"/>
      <c r="E18" s="9"/>
      <c r="F18" s="9"/>
      <c r="G18" s="9"/>
    </row>
    <row r="19" spans="2:7">
      <c r="B19" s="45">
        <v>3</v>
      </c>
      <c r="C19" s="46">
        <v>1.5</v>
      </c>
      <c r="D19" s="9"/>
      <c r="E19" s="9"/>
      <c r="F19" s="9"/>
      <c r="G19" s="9"/>
    </row>
    <row r="20" spans="2:7">
      <c r="B20" s="45">
        <v>5</v>
      </c>
      <c r="C20" s="46">
        <v>2</v>
      </c>
      <c r="D20" s="9"/>
      <c r="E20" s="9"/>
      <c r="F20" s="9"/>
      <c r="G20" s="9"/>
    </row>
    <row r="21" spans="2:7">
      <c r="B21" s="45">
        <v>8</v>
      </c>
      <c r="C21" s="46">
        <v>3</v>
      </c>
      <c r="D21" s="9"/>
      <c r="E21" s="9"/>
      <c r="F21" s="9"/>
      <c r="G21" s="9"/>
    </row>
  </sheetData>
  <mergeCells count="3">
    <mergeCell ref="B1:G1"/>
    <mergeCell ref="B11:D11"/>
    <mergeCell ref="B15:C1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9"/>
  <sheetViews>
    <sheetView workbookViewId="0"/>
  </sheetViews>
  <sheetFormatPr defaultRowHeight="17"/>
  <cols>
    <col min="1" max="1" width="14.1640625" customWidth="1"/>
    <col min="5" max="5" width="13.58203125" customWidth="1"/>
    <col min="7" max="7" width="10.58203125" customWidth="1"/>
  </cols>
  <sheetData>
    <row r="1" spans="1:5">
      <c r="A1" s="15" t="s">
        <v>183</v>
      </c>
      <c r="B1" s="9"/>
      <c r="C1" s="9"/>
      <c r="D1" s="9"/>
      <c r="E1" s="9"/>
    </row>
    <row r="2" spans="1:5">
      <c r="A2" s="9"/>
      <c r="B2" s="9"/>
      <c r="C2" s="9"/>
      <c r="D2" s="9"/>
      <c r="E2" s="9"/>
    </row>
    <row r="3" spans="1:5">
      <c r="A3" s="17" t="s">
        <v>184</v>
      </c>
      <c r="B3" s="17" t="s">
        <v>185</v>
      </c>
      <c r="C3" s="17" t="s">
        <v>186</v>
      </c>
      <c r="D3" s="17" t="s">
        <v>187</v>
      </c>
      <c r="E3" s="17" t="s">
        <v>188</v>
      </c>
    </row>
    <row r="4" spans="1:5">
      <c r="A4" s="11" t="s">
        <v>189</v>
      </c>
      <c r="B4" s="47" t="s">
        <v>190</v>
      </c>
      <c r="C4" s="48">
        <v>20</v>
      </c>
      <c r="D4" s="48">
        <v>90000</v>
      </c>
      <c r="E4" s="48"/>
    </row>
    <row r="5" spans="1:5">
      <c r="A5" s="11" t="s">
        <v>191</v>
      </c>
      <c r="B5" s="47" t="s">
        <v>192</v>
      </c>
      <c r="C5" s="48">
        <v>53</v>
      </c>
      <c r="D5" s="48">
        <v>140000</v>
      </c>
      <c r="E5" s="48"/>
    </row>
    <row r="6" spans="1:5">
      <c r="A6" s="11" t="s">
        <v>193</v>
      </c>
      <c r="B6" s="47" t="s">
        <v>194</v>
      </c>
      <c r="C6" s="48">
        <v>29</v>
      </c>
      <c r="D6" s="48">
        <v>110000</v>
      </c>
      <c r="E6" s="48"/>
    </row>
    <row r="7" spans="1:5">
      <c r="A7" s="11" t="s">
        <v>195</v>
      </c>
      <c r="B7" s="47" t="s">
        <v>196</v>
      </c>
      <c r="C7" s="48">
        <v>48</v>
      </c>
      <c r="D7" s="48">
        <v>88000</v>
      </c>
      <c r="E7" s="48"/>
    </row>
    <row r="8" spans="1:5">
      <c r="A8" s="11" t="s">
        <v>197</v>
      </c>
      <c r="B8" s="47" t="s">
        <v>198</v>
      </c>
      <c r="C8" s="48">
        <v>12</v>
      </c>
      <c r="D8" s="48">
        <v>90000</v>
      </c>
      <c r="E8" s="48"/>
    </row>
    <row r="9" spans="1:5">
      <c r="A9" s="11" t="s">
        <v>199</v>
      </c>
      <c r="B9" s="47" t="s">
        <v>200</v>
      </c>
      <c r="C9" s="48">
        <v>7</v>
      </c>
      <c r="D9" s="48">
        <v>90000</v>
      </c>
      <c r="E9" s="48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0"/>
  <sheetViews>
    <sheetView workbookViewId="0">
      <selection activeCell="J28" sqref="J28"/>
    </sheetView>
  </sheetViews>
  <sheetFormatPr defaultRowHeight="17"/>
  <cols>
    <col min="2" max="7" width="11" customWidth="1"/>
  </cols>
  <sheetData>
    <row r="1" spans="1:7">
      <c r="A1" s="9" t="s">
        <v>201</v>
      </c>
      <c r="B1" s="9"/>
      <c r="C1" s="9"/>
      <c r="D1" s="9"/>
      <c r="E1" s="9"/>
      <c r="F1" s="9"/>
      <c r="G1" s="9"/>
    </row>
    <row r="2" spans="1:7">
      <c r="A2" s="9"/>
      <c r="B2" s="9"/>
      <c r="C2" s="9"/>
      <c r="D2" s="9"/>
      <c r="E2" s="9"/>
      <c r="F2" s="9"/>
      <c r="G2" s="9"/>
    </row>
    <row r="3" spans="1:7">
      <c r="A3" s="11" t="s">
        <v>202</v>
      </c>
      <c r="B3" s="11" t="s">
        <v>203</v>
      </c>
      <c r="C3" s="11" t="s">
        <v>204</v>
      </c>
      <c r="D3" s="11" t="s">
        <v>205</v>
      </c>
      <c r="E3" s="11" t="s">
        <v>206</v>
      </c>
      <c r="F3" s="11" t="s">
        <v>207</v>
      </c>
      <c r="G3" s="11" t="s">
        <v>208</v>
      </c>
    </row>
    <row r="4" spans="1:7">
      <c r="A4" s="11" t="s">
        <v>209</v>
      </c>
      <c r="B4" s="14">
        <v>2567</v>
      </c>
      <c r="C4" s="49">
        <v>0.18069829649443897</v>
      </c>
      <c r="D4" s="14">
        <v>3125</v>
      </c>
      <c r="E4" s="49">
        <v>0.22821879792594757</v>
      </c>
      <c r="F4" s="49">
        <v>0.20445854721019327</v>
      </c>
      <c r="G4" s="49">
        <v>4.7520501431508599E-2</v>
      </c>
    </row>
    <row r="5" spans="1:7">
      <c r="A5" s="11" t="s">
        <v>210</v>
      </c>
      <c r="B5" s="14">
        <v>1358</v>
      </c>
      <c r="C5" s="49">
        <v>9.5593411234689563E-2</v>
      </c>
      <c r="D5" s="14">
        <v>2156</v>
      </c>
      <c r="E5" s="49">
        <v>0.15745271306506975</v>
      </c>
      <c r="F5" s="49">
        <v>0.12652306214987966</v>
      </c>
      <c r="G5" s="49">
        <v>6.1859301830380187E-2</v>
      </c>
    </row>
    <row r="6" spans="1:7">
      <c r="A6" s="11" t="s">
        <v>211</v>
      </c>
      <c r="B6" s="14">
        <v>1856</v>
      </c>
      <c r="C6" s="49">
        <v>0.13064902154019428</v>
      </c>
      <c r="D6" s="14">
        <v>2465</v>
      </c>
      <c r="E6" s="49">
        <v>0.18001898780398745</v>
      </c>
      <c r="F6" s="49">
        <v>0.15533400467209085</v>
      </c>
      <c r="G6" s="49">
        <v>4.9369966263793169E-2</v>
      </c>
    </row>
    <row r="7" spans="1:7">
      <c r="A7" s="11" t="s">
        <v>212</v>
      </c>
      <c r="B7" s="14">
        <v>2475</v>
      </c>
      <c r="C7" s="49">
        <v>0.17422215965085175</v>
      </c>
      <c r="D7" s="14">
        <v>2754</v>
      </c>
      <c r="E7" s="49">
        <v>0.20112466223617906</v>
      </c>
      <c r="F7" s="49">
        <v>0.18767341094351542</v>
      </c>
      <c r="G7" s="49">
        <v>2.6902502585327309E-2</v>
      </c>
    </row>
    <row r="8" spans="1:7">
      <c r="A8" s="11" t="s">
        <v>213</v>
      </c>
      <c r="B8" s="14">
        <v>2145</v>
      </c>
      <c r="C8" s="49">
        <v>0.15099253836407153</v>
      </c>
      <c r="D8" s="14">
        <v>2475</v>
      </c>
      <c r="E8" s="49">
        <v>0.18074928795735046</v>
      </c>
      <c r="F8" s="49">
        <v>0.16587091316071101</v>
      </c>
      <c r="G8" s="49">
        <v>2.9756749593278925E-2</v>
      </c>
    </row>
    <row r="9" spans="1:7">
      <c r="A9" s="11" t="s">
        <v>214</v>
      </c>
      <c r="B9" s="14">
        <v>2485</v>
      </c>
      <c r="C9" s="49">
        <v>0.17492608756863298</v>
      </c>
      <c r="D9" s="14">
        <v>2487</v>
      </c>
      <c r="E9" s="49">
        <v>0.1816256481413861</v>
      </c>
      <c r="F9" s="49">
        <v>0.17827586785500954</v>
      </c>
      <c r="G9" s="49">
        <v>6.699560572753116E-3</v>
      </c>
    </row>
    <row r="10" spans="1:7">
      <c r="A10" s="11" t="s">
        <v>215</v>
      </c>
      <c r="B10" s="14">
        <v>1320</v>
      </c>
      <c r="C10" s="49">
        <v>9.2918485147120936E-2</v>
      </c>
      <c r="D10" s="14">
        <v>1356</v>
      </c>
      <c r="E10" s="49">
        <v>9.9028700796027172E-2</v>
      </c>
      <c r="F10" s="49">
        <v>9.5973592971574054E-2</v>
      </c>
      <c r="G10" s="49">
        <v>6.1102156489062365E-3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2023-03-16T10:33:47Z</dcterms:modified>
</cp:coreProperties>
</file>