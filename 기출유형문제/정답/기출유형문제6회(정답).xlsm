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정답\"/>
    </mc:Choice>
  </mc:AlternateContent>
  <xr:revisionPtr revIDLastSave="0" documentId="13_ncr:1_{921DC1CA-2EE8-4B37-A25C-BBA9255775EE}" xr6:coauthVersionLast="47" xr6:coauthVersionMax="47" xr10:uidLastSave="{00000000-0000-0000-0000-000000000000}"/>
  <bookViews>
    <workbookView xWindow="15900" yWindow="1275" windowWidth="17100" windowHeight="13845" tabRatio="74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설계사명">'기본작업-2'!$A$4:$A$11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4" l="1" a="1"/>
  <c r="C15" i="4" s="1"/>
  <c r="C16" i="4" a="1"/>
  <c r="C16" i="4" s="1"/>
  <c r="C17" i="4" a="1"/>
  <c r="C17" i="4"/>
  <c r="C18" i="4" a="1"/>
  <c r="C18" i="4"/>
  <c r="C19" i="4" a="1"/>
  <c r="C19" i="4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I4" i="4" a="1"/>
  <c r="I4" i="4" s="1"/>
  <c r="I5" i="4" a="1"/>
  <c r="I5" i="4" s="1"/>
  <c r="I6" i="4" a="1"/>
  <c r="I6" i="4"/>
  <c r="I7" i="4" a="1"/>
  <c r="I7" i="4"/>
  <c r="I8" i="4" a="1"/>
  <c r="I8" i="4"/>
  <c r="I9" i="4" a="1"/>
  <c r="I9" i="4"/>
  <c r="I10" i="4" a="1"/>
  <c r="I10" i="4"/>
  <c r="I11" i="4" a="1"/>
  <c r="I11" i="4"/>
  <c r="I3" i="4" a="1"/>
  <c r="I3" i="4" s="1"/>
  <c r="D8" i="4" a="1"/>
  <c r="D8" i="4" s="1"/>
  <c r="D9" i="4" a="1"/>
  <c r="D9" i="4" s="1"/>
  <c r="D10" i="4" a="1"/>
  <c r="D10" i="4" s="1"/>
  <c r="D11" i="4" a="1"/>
  <c r="D11" i="4" s="1"/>
  <c r="D4" i="4" a="1"/>
  <c r="D4" i="4" s="1"/>
  <c r="D5" i="4" a="1"/>
  <c r="D5" i="4" s="1"/>
  <c r="D6" i="4" a="1"/>
  <c r="D6" i="4"/>
  <c r="D7" i="4" a="1"/>
  <c r="D7" i="4" s="1"/>
  <c r="D3" i="4" a="1"/>
  <c r="D3" i="4" s="1"/>
  <c r="F18" i="5"/>
  <c r="F17" i="5"/>
  <c r="E5" i="7" l="1"/>
  <c r="E6" i="7"/>
  <c r="E7" i="7"/>
  <c r="E8" i="7"/>
  <c r="E9" i="7"/>
  <c r="E10" i="7"/>
  <c r="E4" i="7"/>
  <c r="F16" i="5" l="1"/>
  <c r="F15" i="5"/>
  <c r="F14" i="5"/>
  <c r="F13" i="5"/>
  <c r="F12" i="5"/>
  <c r="F11" i="5"/>
  <c r="F10" i="5"/>
  <c r="F9" i="5"/>
  <c r="F8" i="5"/>
  <c r="F7" i="5"/>
  <c r="F6" i="5"/>
  <c r="F5" i="5"/>
  <c r="F4" i="5"/>
  <c r="E36" i="4"/>
  <c r="E35" i="4"/>
  <c r="E34" i="4"/>
  <c r="E33" i="4"/>
  <c r="E32" i="4"/>
  <c r="E31" i="4"/>
  <c r="E30" i="4"/>
  <c r="E29" i="4"/>
  <c r="E28" i="4"/>
  <c r="G36" i="4" s="1"/>
  <c r="I23" i="4"/>
  <c r="I22" i="4"/>
  <c r="I21" i="4"/>
  <c r="I20" i="4"/>
  <c r="I19" i="4"/>
  <c r="I18" i="4"/>
  <c r="I17" i="4"/>
  <c r="I16" i="4"/>
  <c r="I15" i="4"/>
  <c r="I24" i="4" s="1"/>
  <c r="E11" i="3"/>
  <c r="E10" i="3"/>
  <c r="E9" i="3"/>
  <c r="E8" i="3"/>
  <c r="E7" i="3"/>
  <c r="E6" i="3"/>
  <c r="E5" i="3"/>
  <c r="E4" i="3"/>
  <c r="G12" i="2"/>
  <c r="F12" i="2"/>
  <c r="E12" i="2"/>
  <c r="D12" i="2"/>
  <c r="H11" i="2"/>
  <c r="I11" i="2" s="1"/>
  <c r="H10" i="2"/>
  <c r="H9" i="2"/>
  <c r="H8" i="2"/>
  <c r="H7" i="2"/>
  <c r="I7" i="2" s="1"/>
  <c r="H6" i="2"/>
  <c r="I6" i="2" s="1"/>
  <c r="H5" i="2"/>
  <c r="H4" i="2"/>
  <c r="H12" i="2" s="1"/>
  <c r="I9" i="2" l="1"/>
  <c r="I5" i="2"/>
  <c r="I8" i="2"/>
  <c r="I10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<sst xmlns="http://schemas.openxmlformats.org/spreadsheetml/2006/main" count="347" uniqueCount="284">
  <si>
    <t>주민평생교육</t>
    <phoneticPr fontId="2" type="noConversion"/>
  </si>
  <si>
    <t>든든보험 설계사 실적 현황</t>
    <phoneticPr fontId="5" type="noConversion"/>
  </si>
  <si>
    <t>설계사명</t>
    <phoneticPr fontId="5" type="noConversion"/>
  </si>
  <si>
    <t>주영업지역</t>
    <phoneticPr fontId="5" type="noConversion"/>
  </si>
  <si>
    <t>주보험분야</t>
    <phoneticPr fontId="5" type="noConversion"/>
  </si>
  <si>
    <t>1분기</t>
    <phoneticPr fontId="5" type="noConversion"/>
  </si>
  <si>
    <t>2분기</t>
    <phoneticPr fontId="5" type="noConversion"/>
  </si>
  <si>
    <t>3분기</t>
    <phoneticPr fontId="5" type="noConversion"/>
  </si>
  <si>
    <t>4분기</t>
    <phoneticPr fontId="5" type="noConversion"/>
  </si>
  <si>
    <t>실적총액</t>
    <phoneticPr fontId="5" type="noConversion"/>
  </si>
  <si>
    <t>실적순위</t>
    <phoneticPr fontId="5" type="noConversion"/>
  </si>
  <si>
    <t>나신영</t>
    <phoneticPr fontId="5" type="noConversion"/>
  </si>
  <si>
    <t>서울 강서</t>
    <phoneticPr fontId="5" type="noConversion"/>
  </si>
  <si>
    <t>상해보험</t>
    <phoneticPr fontId="5" type="noConversion"/>
  </si>
  <si>
    <t>고건희</t>
    <phoneticPr fontId="5" type="noConversion"/>
  </si>
  <si>
    <t>서울 강남</t>
    <phoneticPr fontId="5" type="noConversion"/>
  </si>
  <si>
    <t>종신보험</t>
    <phoneticPr fontId="5" type="noConversion"/>
  </si>
  <si>
    <t>정성태</t>
    <phoneticPr fontId="5" type="noConversion"/>
  </si>
  <si>
    <t>경기 남부</t>
    <phoneticPr fontId="5" type="noConversion"/>
  </si>
  <si>
    <t>자동차보험</t>
    <phoneticPr fontId="5" type="noConversion"/>
  </si>
  <si>
    <t>김한용</t>
    <phoneticPr fontId="5" type="noConversion"/>
  </si>
  <si>
    <t>대전</t>
    <phoneticPr fontId="5" type="noConversion"/>
  </si>
  <si>
    <t>화재보험</t>
    <phoneticPr fontId="5" type="noConversion"/>
  </si>
  <si>
    <t>이태성</t>
    <phoneticPr fontId="5" type="noConversion"/>
  </si>
  <si>
    <t>경기 북부</t>
    <phoneticPr fontId="5" type="noConversion"/>
  </si>
  <si>
    <t>최미연</t>
    <phoneticPr fontId="5" type="noConversion"/>
  </si>
  <si>
    <t>서울 강동</t>
    <phoneticPr fontId="5" type="noConversion"/>
  </si>
  <si>
    <t>자동차보험</t>
    <phoneticPr fontId="5" type="noConversion"/>
  </si>
  <si>
    <t>주선희</t>
    <phoneticPr fontId="5" type="noConversion"/>
  </si>
  <si>
    <t>대전</t>
    <phoneticPr fontId="5" type="noConversion"/>
  </si>
  <si>
    <t>종신보험</t>
    <phoneticPr fontId="5" type="noConversion"/>
  </si>
  <si>
    <t>박명숙</t>
    <phoneticPr fontId="5" type="noConversion"/>
  </si>
  <si>
    <t>인천</t>
    <phoneticPr fontId="5" type="noConversion"/>
  </si>
  <si>
    <t>화재보험</t>
    <phoneticPr fontId="5" type="noConversion"/>
  </si>
  <si>
    <t>합계</t>
    <phoneticPr fontId="5" type="noConversion"/>
  </si>
  <si>
    <t>단위 : 천원</t>
  </si>
  <si>
    <t>제품명</t>
  </si>
  <si>
    <t>판매대수</t>
    <phoneticPr fontId="5" type="noConversion"/>
  </si>
  <si>
    <t>매입단가</t>
    <phoneticPr fontId="5" type="noConversion"/>
  </si>
  <si>
    <t>매입금액</t>
    <phoneticPr fontId="5" type="noConversion"/>
  </si>
  <si>
    <t>매출단가</t>
    <phoneticPr fontId="5" type="noConversion"/>
  </si>
  <si>
    <t>할인율</t>
  </si>
  <si>
    <t>매출금액</t>
    <phoneticPr fontId="5" type="noConversion"/>
  </si>
  <si>
    <t>순이익</t>
  </si>
  <si>
    <t>VTR</t>
    <phoneticPr fontId="5" type="noConversion"/>
  </si>
  <si>
    <t>캠코더</t>
    <phoneticPr fontId="5" type="noConversion"/>
  </si>
  <si>
    <t>디지털카메라</t>
    <phoneticPr fontId="5" type="noConversion"/>
  </si>
  <si>
    <t>냉장고</t>
    <phoneticPr fontId="5" type="noConversion"/>
  </si>
  <si>
    <t>HDTV</t>
    <phoneticPr fontId="5" type="noConversion"/>
  </si>
  <si>
    <t>김치냉장고</t>
    <phoneticPr fontId="5" type="noConversion"/>
  </si>
  <si>
    <t>오디오</t>
    <phoneticPr fontId="5" type="noConversion"/>
  </si>
  <si>
    <t>에어컨</t>
    <phoneticPr fontId="5" type="noConversion"/>
  </si>
  <si>
    <t>[표1] 지점별 제품 판매 현황</t>
    <phoneticPr fontId="5" type="noConversion"/>
  </si>
  <si>
    <t>[표2] 고객별 보험료 납부 현황</t>
    <phoneticPr fontId="5" type="noConversion"/>
  </si>
  <si>
    <t>제품코드</t>
    <phoneticPr fontId="5" type="noConversion"/>
  </si>
  <si>
    <t>지점명</t>
    <phoneticPr fontId="5" type="noConversion"/>
  </si>
  <si>
    <t>판매량</t>
    <phoneticPr fontId="5" type="noConversion"/>
  </si>
  <si>
    <t>제품명</t>
    <phoneticPr fontId="5" type="noConversion"/>
  </si>
  <si>
    <t>고객코드</t>
    <phoneticPr fontId="5" type="noConversion"/>
  </si>
  <si>
    <t>가입년도</t>
    <phoneticPr fontId="5" type="noConversion"/>
  </si>
  <si>
    <t>사고보험금</t>
    <phoneticPr fontId="5" type="noConversion"/>
  </si>
  <si>
    <t>인상여부</t>
    <phoneticPr fontId="5" type="noConversion"/>
  </si>
  <si>
    <t>UT-100S</t>
    <phoneticPr fontId="5" type="noConversion"/>
  </si>
  <si>
    <t>강동</t>
    <phoneticPr fontId="5" type="noConversion"/>
  </si>
  <si>
    <t>K-1542</t>
    <phoneticPr fontId="5" type="noConversion"/>
  </si>
  <si>
    <t>2010년</t>
    <phoneticPr fontId="5" type="noConversion"/>
  </si>
  <si>
    <t>YI-200T</t>
    <phoneticPr fontId="5" type="noConversion"/>
  </si>
  <si>
    <t>강남</t>
    <phoneticPr fontId="5" type="noConversion"/>
  </si>
  <si>
    <t>P-2943</t>
    <phoneticPr fontId="5" type="noConversion"/>
  </si>
  <si>
    <t>2011년</t>
    <phoneticPr fontId="5" type="noConversion"/>
  </si>
  <si>
    <t>PZ-150R</t>
    <phoneticPr fontId="5" type="noConversion"/>
  </si>
  <si>
    <t>강서</t>
    <phoneticPr fontId="5" type="noConversion"/>
  </si>
  <si>
    <t>M-3847</t>
    <phoneticPr fontId="5" type="noConversion"/>
  </si>
  <si>
    <t>2012년</t>
    <phoneticPr fontId="5" type="noConversion"/>
  </si>
  <si>
    <t>RU-100T</t>
    <phoneticPr fontId="5" type="noConversion"/>
  </si>
  <si>
    <t>노원</t>
    <phoneticPr fontId="5" type="noConversion"/>
  </si>
  <si>
    <t>G-1795</t>
    <phoneticPr fontId="5" type="noConversion"/>
  </si>
  <si>
    <t>2013년</t>
    <phoneticPr fontId="5" type="noConversion"/>
  </si>
  <si>
    <t>OG-200S</t>
    <phoneticPr fontId="5" type="noConversion"/>
  </si>
  <si>
    <t>송파</t>
    <phoneticPr fontId="5" type="noConversion"/>
  </si>
  <si>
    <t>F-2847</t>
    <phoneticPr fontId="5" type="noConversion"/>
  </si>
  <si>
    <t>2011년</t>
    <phoneticPr fontId="5" type="noConversion"/>
  </si>
  <si>
    <t>A-3912</t>
    <phoneticPr fontId="5" type="noConversion"/>
  </si>
  <si>
    <t>S-2741</t>
    <phoneticPr fontId="5" type="noConversion"/>
  </si>
  <si>
    <t>K-2734</t>
    <phoneticPr fontId="5" type="noConversion"/>
  </si>
  <si>
    <t>S-1847</t>
    <phoneticPr fontId="5" type="noConversion"/>
  </si>
  <si>
    <t>프린터</t>
    <phoneticPr fontId="5" type="noConversion"/>
  </si>
  <si>
    <t>[표4] 부서별 급여 현황</t>
    <phoneticPr fontId="5" type="noConversion"/>
  </si>
  <si>
    <t>성명</t>
    <phoneticPr fontId="5" type="noConversion"/>
  </si>
  <si>
    <t>직급</t>
    <phoneticPr fontId="5" type="noConversion"/>
  </si>
  <si>
    <t>부서</t>
    <phoneticPr fontId="5" type="noConversion"/>
  </si>
  <si>
    <t>기본급</t>
    <phoneticPr fontId="5" type="noConversion"/>
  </si>
  <si>
    <t>실수령액</t>
    <phoneticPr fontId="5" type="noConversion"/>
  </si>
  <si>
    <t>[표3] 고객 인적 사항</t>
    <phoneticPr fontId="5" type="noConversion"/>
  </si>
  <si>
    <t>김진성</t>
  </si>
  <si>
    <t>사원</t>
    <phoneticPr fontId="5" type="noConversion"/>
  </si>
  <si>
    <t>영업부</t>
    <phoneticPr fontId="5" type="noConversion"/>
  </si>
  <si>
    <t>생년월일</t>
    <phoneticPr fontId="5" type="noConversion"/>
  </si>
  <si>
    <t>태어난 요일</t>
    <phoneticPr fontId="5" type="noConversion"/>
  </si>
  <si>
    <t>서혁진</t>
  </si>
  <si>
    <t>과장</t>
    <phoneticPr fontId="5" type="noConversion"/>
  </si>
  <si>
    <t>자재부</t>
    <phoneticPr fontId="5" type="noConversion"/>
  </si>
  <si>
    <t>김태영</t>
  </si>
  <si>
    <t>이상흠</t>
  </si>
  <si>
    <t>대리</t>
    <phoneticPr fontId="5" type="noConversion"/>
  </si>
  <si>
    <t>생산부</t>
    <phoneticPr fontId="5" type="noConversion"/>
  </si>
  <si>
    <t>박술희</t>
  </si>
  <si>
    <t>김성균</t>
  </si>
  <si>
    <t>과장</t>
    <phoneticPr fontId="5" type="noConversion"/>
  </si>
  <si>
    <t>영업부</t>
    <phoneticPr fontId="5" type="noConversion"/>
  </si>
  <si>
    <t>정태정</t>
  </si>
  <si>
    <t>윤향기</t>
  </si>
  <si>
    <t>최돈구</t>
  </si>
  <si>
    <t>김필승</t>
  </si>
  <si>
    <t>한인수</t>
  </si>
  <si>
    <t>한성수</t>
  </si>
  <si>
    <t>대리</t>
    <phoneticPr fontId="5" type="noConversion"/>
  </si>
  <si>
    <t>자재부</t>
    <phoneticPr fontId="5" type="noConversion"/>
  </si>
  <si>
    <t>지명환</t>
  </si>
  <si>
    <t>최미르</t>
    <phoneticPr fontId="5" type="noConversion"/>
  </si>
  <si>
    <t>김시찬</t>
  </si>
  <si>
    <t>정준영</t>
    <phoneticPr fontId="5" type="noConversion"/>
  </si>
  <si>
    <t>사원</t>
    <phoneticPr fontId="5" type="noConversion"/>
  </si>
  <si>
    <t>명세진</t>
  </si>
  <si>
    <t>영업부 실수령액 평균</t>
    <phoneticPr fontId="5" type="noConversion"/>
  </si>
  <si>
    <t>[표5] 지역별 판매 현황</t>
    <phoneticPr fontId="5" type="noConversion"/>
  </si>
  <si>
    <t>지역</t>
    <phoneticPr fontId="5" type="noConversion"/>
  </si>
  <si>
    <t>판매가</t>
    <phoneticPr fontId="5" type="noConversion"/>
  </si>
  <si>
    <t>판매량</t>
    <phoneticPr fontId="5" type="noConversion"/>
  </si>
  <si>
    <t>판매이익</t>
    <phoneticPr fontId="5" type="noConversion"/>
  </si>
  <si>
    <t>TV</t>
    <phoneticPr fontId="5" type="noConversion"/>
  </si>
  <si>
    <t>서울</t>
    <phoneticPr fontId="5" type="noConversion"/>
  </si>
  <si>
    <t>냉장고</t>
    <phoneticPr fontId="5" type="noConversion"/>
  </si>
  <si>
    <t>사운드바</t>
    <phoneticPr fontId="5" type="noConversion"/>
  </si>
  <si>
    <t>경기</t>
    <phoneticPr fontId="5" type="noConversion"/>
  </si>
  <si>
    <t>TV</t>
    <phoneticPr fontId="5" type="noConversion"/>
  </si>
  <si>
    <t>경기</t>
    <phoneticPr fontId="5" type="noConversion"/>
  </si>
  <si>
    <t>사운드바</t>
    <phoneticPr fontId="5" type="noConversion"/>
  </si>
  <si>
    <t>경기</t>
    <phoneticPr fontId="5" type="noConversion"/>
  </si>
  <si>
    <t>인천</t>
    <phoneticPr fontId="5" type="noConversion"/>
  </si>
  <si>
    <t>서울지역 판매이익 평균</t>
    <phoneticPr fontId="5" type="noConversion"/>
  </si>
  <si>
    <t>인천</t>
    <phoneticPr fontId="5" type="noConversion"/>
  </si>
  <si>
    <t>영업 현황</t>
    <phoneticPr fontId="5" type="noConversion"/>
  </si>
  <si>
    <t>대리점명</t>
    <phoneticPr fontId="5" type="noConversion"/>
  </si>
  <si>
    <t>제품명</t>
    <phoneticPr fontId="5" type="noConversion"/>
  </si>
  <si>
    <t>판매사원</t>
    <phoneticPr fontId="5" type="noConversion"/>
  </si>
  <si>
    <t>외상매출액</t>
    <phoneticPr fontId="5" type="noConversion"/>
  </si>
  <si>
    <t>회수금액</t>
    <phoneticPr fontId="5" type="noConversion"/>
  </si>
  <si>
    <t>회수율</t>
    <phoneticPr fontId="5" type="noConversion"/>
  </si>
  <si>
    <t>송파점</t>
  </si>
  <si>
    <t>TV</t>
    <phoneticPr fontId="5" type="noConversion"/>
  </si>
  <si>
    <t>최영수</t>
    <phoneticPr fontId="5" type="noConversion"/>
  </si>
  <si>
    <t>강남</t>
    <phoneticPr fontId="5" type="noConversion"/>
  </si>
  <si>
    <t>냉장고</t>
    <phoneticPr fontId="5" type="noConversion"/>
  </si>
  <si>
    <t>에어컨</t>
    <phoneticPr fontId="5" type="noConversion"/>
  </si>
  <si>
    <t>서초점</t>
  </si>
  <si>
    <t>김명윤</t>
    <phoneticPr fontId="5" type="noConversion"/>
  </si>
  <si>
    <t>강남</t>
    <phoneticPr fontId="5" type="noConversion"/>
  </si>
  <si>
    <t>김치냉장고</t>
    <phoneticPr fontId="5" type="noConversion"/>
  </si>
  <si>
    <t>김영수</t>
    <phoneticPr fontId="5" type="noConversion"/>
  </si>
  <si>
    <t>김치냉장고</t>
    <phoneticPr fontId="5" type="noConversion"/>
  </si>
  <si>
    <t>김정민</t>
    <phoneticPr fontId="5" type="noConversion"/>
  </si>
  <si>
    <t>김길용</t>
    <phoneticPr fontId="5" type="noConversion"/>
  </si>
  <si>
    <t>하창수</t>
    <phoneticPr fontId="5" type="noConversion"/>
  </si>
  <si>
    <t>이영복</t>
    <phoneticPr fontId="5" type="noConversion"/>
  </si>
  <si>
    <t>이승범</t>
    <phoneticPr fontId="5" type="noConversion"/>
  </si>
  <si>
    <t>한수진</t>
    <phoneticPr fontId="5" type="noConversion"/>
  </si>
  <si>
    <t>[표1]</t>
    <phoneticPr fontId="5" type="noConversion"/>
  </si>
  <si>
    <t>1월 판매금액</t>
    <phoneticPr fontId="5" type="noConversion"/>
  </si>
  <si>
    <t>[표2]</t>
    <phoneticPr fontId="5" type="noConversion"/>
  </si>
  <si>
    <t>2월 판매금액</t>
    <phoneticPr fontId="5" type="noConversion"/>
  </si>
  <si>
    <t>품명</t>
    <phoneticPr fontId="5" type="noConversion"/>
  </si>
  <si>
    <t>판매수량</t>
    <phoneticPr fontId="5" type="noConversion"/>
  </si>
  <si>
    <t>단가</t>
    <phoneticPr fontId="5" type="noConversion"/>
  </si>
  <si>
    <t>매출액</t>
    <phoneticPr fontId="5" type="noConversion"/>
  </si>
  <si>
    <t>품명</t>
    <phoneticPr fontId="5" type="noConversion"/>
  </si>
  <si>
    <t>매출액</t>
    <phoneticPr fontId="5" type="noConversion"/>
  </si>
  <si>
    <t>모니터</t>
    <phoneticPr fontId="5" type="noConversion"/>
  </si>
  <si>
    <t>외장형 하드</t>
    <phoneticPr fontId="5" type="noConversion"/>
  </si>
  <si>
    <t>RAM</t>
    <phoneticPr fontId="5" type="noConversion"/>
  </si>
  <si>
    <t>[표3]</t>
    <phoneticPr fontId="5" type="noConversion"/>
  </si>
  <si>
    <t>3월 판매금액</t>
    <phoneticPr fontId="5" type="noConversion"/>
  </si>
  <si>
    <t>[표4]</t>
    <phoneticPr fontId="5" type="noConversion"/>
  </si>
  <si>
    <t>1/4분기 평균 판매금액</t>
    <phoneticPr fontId="5" type="noConversion"/>
  </si>
  <si>
    <t>판매수량</t>
    <phoneticPr fontId="5" type="noConversion"/>
  </si>
  <si>
    <t>단가</t>
    <phoneticPr fontId="5" type="noConversion"/>
  </si>
  <si>
    <t>모니터</t>
  </si>
  <si>
    <t>프린터</t>
    <phoneticPr fontId="5" type="noConversion"/>
  </si>
  <si>
    <t>프린터</t>
  </si>
  <si>
    <t>외장형 하드</t>
  </si>
  <si>
    <t>RAM</t>
  </si>
  <si>
    <t>[표1]</t>
    <phoneticPr fontId="5" type="noConversion"/>
  </si>
  <si>
    <t>가정용 가스 요금</t>
    <phoneticPr fontId="5" type="noConversion"/>
  </si>
  <si>
    <t>사용자명</t>
    <phoneticPr fontId="5" type="noConversion"/>
  </si>
  <si>
    <t>사용량</t>
    <phoneticPr fontId="5" type="noConversion"/>
  </si>
  <si>
    <t>사용요금</t>
    <phoneticPr fontId="5" type="noConversion"/>
  </si>
  <si>
    <t>세금</t>
    <phoneticPr fontId="5" type="noConversion"/>
  </si>
  <si>
    <t>총요금</t>
    <phoneticPr fontId="5" type="noConversion"/>
  </si>
  <si>
    <t>정일섭</t>
    <phoneticPr fontId="5" type="noConversion"/>
  </si>
  <si>
    <t>김은지</t>
    <phoneticPr fontId="5" type="noConversion"/>
  </si>
  <si>
    <t>이찬동</t>
    <phoneticPr fontId="5" type="noConversion"/>
  </si>
  <si>
    <t>김희선</t>
    <phoneticPr fontId="5" type="noConversion"/>
  </si>
  <si>
    <t>박성준</t>
    <phoneticPr fontId="5" type="noConversion"/>
  </si>
  <si>
    <t>최지혜</t>
    <phoneticPr fontId="5" type="noConversion"/>
  </si>
  <si>
    <t>박하나</t>
    <phoneticPr fontId="5" type="noConversion"/>
  </si>
  <si>
    <t>지점별 수신현황</t>
    <phoneticPr fontId="5" type="noConversion"/>
  </si>
  <si>
    <t>지점</t>
    <phoneticPr fontId="5" type="noConversion"/>
  </si>
  <si>
    <t>보통예금</t>
    <phoneticPr fontId="5" type="noConversion"/>
  </si>
  <si>
    <t>정기적금</t>
    <phoneticPr fontId="5" type="noConversion"/>
  </si>
  <si>
    <t>주택예금</t>
    <phoneticPr fontId="5" type="noConversion"/>
  </si>
  <si>
    <t>기타수신</t>
    <phoneticPr fontId="5" type="noConversion"/>
  </si>
  <si>
    <t>강남지점</t>
    <phoneticPr fontId="5" type="noConversion"/>
  </si>
  <si>
    <t>송파지점</t>
    <phoneticPr fontId="5" type="noConversion"/>
  </si>
  <si>
    <t>과천지점</t>
    <phoneticPr fontId="5" type="noConversion"/>
  </si>
  <si>
    <t>수원지점</t>
    <phoneticPr fontId="5" type="noConversion"/>
  </si>
  <si>
    <t>마포지점</t>
    <phoneticPr fontId="5" type="noConversion"/>
  </si>
  <si>
    <t>강좌명</t>
  </si>
  <si>
    <t>강사명</t>
  </si>
  <si>
    <t>수강인원(명)</t>
  </si>
  <si>
    <t>강의시간</t>
  </si>
  <si>
    <t>수강료</t>
  </si>
  <si>
    <t>장소</t>
  </si>
  <si>
    <t>기본영어회화</t>
  </si>
  <si>
    <t>Kristi</t>
  </si>
  <si>
    <t>월,수,금(오후2시)</t>
  </si>
  <si>
    <t>교사연구실</t>
  </si>
  <si>
    <t>컴퓨터</t>
    <phoneticPr fontId="2" type="noConversion"/>
  </si>
  <si>
    <t>이주아</t>
    <phoneticPr fontId="2" type="noConversion"/>
  </si>
  <si>
    <t>화,목,토(오전10시)</t>
  </si>
  <si>
    <t>Lab실</t>
  </si>
  <si>
    <t>일어회화</t>
  </si>
  <si>
    <t>Yosida</t>
  </si>
  <si>
    <t>금,토,일(오후3시)</t>
  </si>
  <si>
    <t>어학실</t>
  </si>
  <si>
    <t>중국어회화</t>
  </si>
  <si>
    <t>Jangsoran</t>
  </si>
  <si>
    <t>월,목(오후5시)</t>
  </si>
  <si>
    <t>시청각실</t>
  </si>
  <si>
    <t>배드민턴</t>
  </si>
  <si>
    <t>김봉주</t>
  </si>
  <si>
    <t>토,일(오전8시)</t>
  </si>
  <si>
    <t>체육관</t>
  </si>
  <si>
    <t>메이크업</t>
  </si>
  <si>
    <t>이주희</t>
  </si>
  <si>
    <t>수,금,토(오전11시)</t>
  </si>
  <si>
    <t>예절실</t>
  </si>
  <si>
    <t>종이접기</t>
    <phoneticPr fontId="2" type="noConversion"/>
  </si>
  <si>
    <t>강부자</t>
    <phoneticPr fontId="2" type="noConversion"/>
  </si>
  <si>
    <t>화,수,금(오후4시)</t>
  </si>
  <si>
    <t>가사실</t>
  </si>
  <si>
    <t>판매사원</t>
  </si>
  <si>
    <t>강남</t>
  </si>
  <si>
    <t>총합계</t>
  </si>
  <si>
    <t>TV</t>
  </si>
  <si>
    <t>김치냉장고</t>
  </si>
  <si>
    <t>냉장고</t>
  </si>
  <si>
    <t>에어컨</t>
  </si>
  <si>
    <t>서초점</t>
    <phoneticPr fontId="2" type="noConversion"/>
  </si>
  <si>
    <t>송파점</t>
    <phoneticPr fontId="2" type="noConversion"/>
  </si>
  <si>
    <t>김정민</t>
  </si>
  <si>
    <t>이영복</t>
  </si>
  <si>
    <t>한수진</t>
  </si>
  <si>
    <t>김길용</t>
  </si>
  <si>
    <t>김명윤</t>
  </si>
  <si>
    <t>이승범</t>
  </si>
  <si>
    <t>김영수</t>
  </si>
  <si>
    <t>최영수</t>
  </si>
  <si>
    <t>하창수</t>
  </si>
  <si>
    <t>평균 : 외상매출액</t>
  </si>
  <si>
    <t>대리점명</t>
  </si>
  <si>
    <t>강남 요약</t>
  </si>
  <si>
    <t>서초점 요약</t>
  </si>
  <si>
    <t>송파점 요약</t>
  </si>
  <si>
    <t>AA-023T</t>
    <phoneticPr fontId="2" type="noConversion"/>
  </si>
  <si>
    <t>CC-123S</t>
    <phoneticPr fontId="2" type="noConversion"/>
  </si>
  <si>
    <t>BB-567R</t>
    <phoneticPr fontId="2" type="noConversion"/>
  </si>
  <si>
    <t>QW-901T</t>
    <phoneticPr fontId="2" type="noConversion"/>
  </si>
  <si>
    <t>서초</t>
    <phoneticPr fontId="2" type="noConversion"/>
  </si>
  <si>
    <t>사당</t>
    <phoneticPr fontId="2" type="noConversion"/>
  </si>
  <si>
    <t>논현</t>
    <phoneticPr fontId="2" type="noConversion"/>
  </si>
  <si>
    <t>대치</t>
    <phoneticPr fontId="2" type="noConversion"/>
  </si>
  <si>
    <t>김국진</t>
    <phoneticPr fontId="2" type="noConversion"/>
  </si>
  <si>
    <t>장안나</t>
    <phoneticPr fontId="2" type="noConversion"/>
  </si>
  <si>
    <t>가전 제품 판매 현황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</si>
</sst>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%"/>
    <numFmt numFmtId="177" formatCode="&quot;₩&quot;#,##0_);[Red]\(&quot;₩&quot;#,##0\)"/>
    <numFmt numFmtId="178" formatCode="#,##0,&quot;천원&quot;"/>
    <numFmt numFmtId="179" formatCode="#,##0.0_ 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u/>
      <sz val="15"/>
      <color theme="1"/>
      <name val="궁서체"/>
      <family val="1"/>
      <charset val="129"/>
    </font>
    <font>
      <b/>
      <sz val="11"/>
      <color rgb="FF0070C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0" borderId="0"/>
    <xf numFmtId="0" fontId="10" fillId="0" borderId="0"/>
  </cellStyleXfs>
  <cellXfs count="59">
    <xf numFmtId="0" fontId="0" fillId="0" borderId="0" xfId="0">
      <alignment vertical="center"/>
    </xf>
    <xf numFmtId="0" fontId="4" fillId="0" borderId="0" xfId="2" applyNumberFormat="1" applyFont="1"/>
    <xf numFmtId="0" fontId="0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41" fontId="6" fillId="0" borderId="1" xfId="3" applyFont="1" applyBorder="1" applyAlignment="1">
      <alignment horizontal="center" vertical="center"/>
    </xf>
    <xf numFmtId="9" fontId="6" fillId="0" borderId="1" xfId="4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41" fontId="4" fillId="0" borderId="1" xfId="3" applyFont="1" applyBorder="1" applyAlignment="1">
      <alignment horizontal="center" vertical="center"/>
    </xf>
    <xf numFmtId="176" fontId="4" fillId="0" borderId="1" xfId="4" applyNumberFormat="1" applyFont="1" applyBorder="1" applyAlignment="1">
      <alignment horizontal="center" vertical="center"/>
    </xf>
    <xf numFmtId="41" fontId="9" fillId="0" borderId="1" xfId="3" applyFont="1" applyFill="1" applyBorder="1" applyAlignment="1">
      <alignment horizontal="right" vertical="center"/>
    </xf>
    <xf numFmtId="0" fontId="4" fillId="0" borderId="0" xfId="2" applyFont="1" applyFill="1" applyBorder="1" applyAlignment="1">
      <alignment horizontal="left" vertical="center"/>
    </xf>
    <xf numFmtId="0" fontId="9" fillId="0" borderId="1" xfId="5" applyFont="1" applyFill="1" applyBorder="1" applyAlignment="1">
      <alignment horizontal="center" vertical="center"/>
    </xf>
    <xf numFmtId="0" fontId="9" fillId="0" borderId="1" xfId="6" applyFont="1" applyFill="1" applyBorder="1" applyAlignment="1">
      <alignment horizontal="center" vertical="center"/>
    </xf>
    <xf numFmtId="49" fontId="4" fillId="0" borderId="0" xfId="2" applyNumberFormat="1" applyFont="1" applyFill="1" applyBorder="1" applyAlignment="1">
      <alignment horizontal="left" vertical="center"/>
    </xf>
    <xf numFmtId="0" fontId="4" fillId="0" borderId="1" xfId="2" applyFont="1" applyFill="1" applyBorder="1" applyAlignment="1">
      <alignment horizontal="center" vertical="center"/>
    </xf>
    <xf numFmtId="14" fontId="4" fillId="0" borderId="1" xfId="2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0" fontId="4" fillId="0" borderId="0" xfId="2" applyFont="1" applyFill="1" applyAlignment="1">
      <alignment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0" applyFont="1" applyFill="1" applyBorder="1" applyAlignment="1"/>
    <xf numFmtId="0" fontId="6" fillId="0" borderId="1" xfId="0" applyNumberFormat="1" applyFont="1" applyBorder="1" applyAlignment="1">
      <alignment horizontal="center"/>
    </xf>
    <xf numFmtId="41" fontId="4" fillId="0" borderId="1" xfId="1" applyFont="1" applyBorder="1" applyAlignment="1"/>
    <xf numFmtId="0" fontId="4" fillId="0" borderId="1" xfId="0" applyFont="1" applyBorder="1">
      <alignment vertical="center"/>
    </xf>
    <xf numFmtId="10" fontId="4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vertical="center"/>
    </xf>
    <xf numFmtId="41" fontId="4" fillId="0" borderId="1" xfId="3" applyFont="1" applyBorder="1" applyAlignment="1">
      <alignment vertical="center"/>
    </xf>
    <xf numFmtId="41" fontId="6" fillId="0" borderId="1" xfId="0" applyNumberFormat="1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41" fontId="0" fillId="0" borderId="1" xfId="3" applyFont="1" applyFill="1" applyBorder="1" applyAlignment="1">
      <alignment vertical="center"/>
    </xf>
    <xf numFmtId="0" fontId="12" fillId="3" borderId="1" xfId="0" applyFont="1" applyFill="1" applyBorder="1" applyAlignment="1">
      <alignment horizontal="center"/>
    </xf>
    <xf numFmtId="0" fontId="0" fillId="0" borderId="1" xfId="0" applyFont="1" applyBorder="1" applyAlignment="1"/>
    <xf numFmtId="0" fontId="0" fillId="0" borderId="5" xfId="0" applyFont="1" applyBorder="1" applyAlignment="1"/>
    <xf numFmtId="0" fontId="0" fillId="0" borderId="0" xfId="0" pivotButton="1">
      <alignment vertical="center"/>
    </xf>
    <xf numFmtId="177" fontId="0" fillId="0" borderId="1" xfId="3" applyNumberFormat="1" applyFont="1" applyFill="1" applyBorder="1" applyAlignment="1">
      <alignment vertical="center"/>
    </xf>
    <xf numFmtId="178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4" fillId="2" borderId="3" xfId="2" applyFont="1" applyFill="1" applyBorder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4" xfId="1" applyNumberFormat="1" applyFont="1" applyBorder="1" applyAlignment="1">
      <alignment horizontal="center" vertical="center"/>
    </xf>
  </cellXfs>
  <cellStyles count="7">
    <cellStyle name="백분율 2" xfId="4" xr:uid="{00000000-0005-0000-0000-000000000000}"/>
    <cellStyle name="쉼표 [0]" xfId="1" builtinId="6"/>
    <cellStyle name="쉼표 [0] 2" xfId="3" xr:uid="{00000000-0005-0000-0000-000002000000}"/>
    <cellStyle name="표준" xfId="0" builtinId="0"/>
    <cellStyle name="표준 2" xfId="2" xr:uid="{00000000-0005-0000-0000-000004000000}"/>
    <cellStyle name="표준_Sheet3" xfId="6" xr:uid="{00000000-0005-0000-0000-000005000000}"/>
    <cellStyle name="표준_건물임대" xfId="5" xr:uid="{00000000-0005-0000-0000-000006000000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500" b="1" u="sng">
                <a:latin typeface="궁서체" panose="02030609000101010101" pitchFamily="17" charset="-127"/>
                <a:ea typeface="궁서체" panose="02030609000101010101" pitchFamily="17" charset="-127"/>
              </a:rPr>
              <a:t>지점별 수신현황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정기적금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2500000</c:v>
                </c:pt>
                <c:pt idx="1">
                  <c:v>1300000</c:v>
                </c:pt>
                <c:pt idx="2">
                  <c:v>1100000</c:v>
                </c:pt>
                <c:pt idx="3">
                  <c:v>2350000</c:v>
                </c:pt>
                <c:pt idx="4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E7-4EE6-B247-4B39C0453544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1350000</c:v>
                </c:pt>
                <c:pt idx="1">
                  <c:v>1800000</c:v>
                </c:pt>
                <c:pt idx="2">
                  <c:v>1200000</c:v>
                </c:pt>
                <c:pt idx="3">
                  <c:v>1000000</c:v>
                </c:pt>
                <c:pt idx="4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59-4833-9CF1-E9C331CAC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5358320"/>
        <c:axId val="1115359152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4350000</c:v>
                </c:pt>
                <c:pt idx="1">
                  <c:v>3500000</c:v>
                </c:pt>
                <c:pt idx="2">
                  <c:v>2300000</c:v>
                </c:pt>
                <c:pt idx="3">
                  <c:v>3200000</c:v>
                </c:pt>
                <c:pt idx="4">
                  <c:v>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7-4EE6-B247-4B39C045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169695"/>
        <c:axId val="213178431"/>
      </c:lineChart>
      <c:catAx>
        <c:axId val="1115358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9152"/>
        <c:crosses val="autoZero"/>
        <c:auto val="1"/>
        <c:lblAlgn val="ctr"/>
        <c:lblOffset val="100"/>
        <c:noMultiLvlLbl val="0"/>
      </c:catAx>
      <c:valAx>
        <c:axId val="11153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8320"/>
        <c:crosses val="autoZero"/>
        <c:crossBetween val="between"/>
      </c:valAx>
      <c:valAx>
        <c:axId val="213178431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169695"/>
        <c:crosses val="max"/>
        <c:crossBetween val="between"/>
      </c:valAx>
      <c:catAx>
        <c:axId val="213169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178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통화" textlink="">
      <xdr:nvSpPr>
        <xdr:cNvPr id="2" name="다이아몬드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699000" y="431800"/>
          <a:ext cx="1320800" cy="6477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[0]!총요금" textlink="">
      <xdr:nvSpPr>
        <xdr:cNvPr id="3" name="배지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8850" y="1295400"/>
          <a:ext cx="1320800" cy="4318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총요금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19.649291203707" createdVersion="7" refreshedVersion="7" minRefreshableVersion="3" recordCount="15" xr:uid="{A2BABF6A-622E-44CD-AEEC-5066A9A0A391}">
  <cacheSource type="worksheet">
    <worksheetSource ref="A3:F18" sheet="분석작업-1"/>
  </cacheSource>
  <cacheFields count="6">
    <cacheField name="대리점명" numFmtId="0">
      <sharedItems containsBlank="1" count="4">
        <s v="송파점"/>
        <s v="강남"/>
        <s v="서초점"/>
        <m u="1"/>
      </sharedItems>
    </cacheField>
    <cacheField name="제품명" numFmtId="0">
      <sharedItems containsBlank="1" count="5">
        <s v="TV"/>
        <s v="에어컨"/>
        <s v="냉장고"/>
        <s v="김치냉장고"/>
        <m u="1"/>
      </sharedItems>
    </cacheField>
    <cacheField name="판매사원" numFmtId="0">
      <sharedItems containsBlank="1" count="14">
        <s v="최영수"/>
        <s v="한수진"/>
        <s v="이승범"/>
        <s v="김명윤"/>
        <s v="김정민"/>
        <s v="김영수"/>
        <s v="김길용"/>
        <s v="하창수"/>
        <s v="이영복"/>
        <m u="1"/>
        <s v="최석훈" u="1"/>
        <s v="박동수" u="1"/>
        <s v="함애자" u="1"/>
        <s v="허혜인" u="1"/>
      </sharedItems>
    </cacheField>
    <cacheField name="외상매출액" numFmtId="41">
      <sharedItems containsSemiMixedTypes="0" containsString="0" containsNumber="1" containsInteger="1" minValue="1135000" maxValue="9542100"/>
    </cacheField>
    <cacheField name="회수금액" numFmtId="41">
      <sharedItems containsSemiMixedTypes="0" containsString="0" containsNumber="1" containsInteger="1" minValue="1100000" maxValue="6521000"/>
    </cacheField>
    <cacheField name="회수율" numFmtId="10">
      <sharedItems containsSemiMixedTypes="0" containsString="0" containsNumber="1" minValue="0.38741670540833723" maxValue="1.63562595680211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x v="0"/>
    <n v="1135000"/>
    <n v="1100000"/>
    <n v="0.96916299559471364"/>
  </r>
  <r>
    <x v="1"/>
    <x v="1"/>
    <x v="1"/>
    <n v="2215200"/>
    <n v="2000000"/>
    <n v="0.90285301552907182"/>
  </r>
  <r>
    <x v="2"/>
    <x v="0"/>
    <x v="2"/>
    <n v="5332500"/>
    <n v="2685000"/>
    <n v="0.50351617440225038"/>
  </r>
  <r>
    <x v="2"/>
    <x v="1"/>
    <x v="3"/>
    <n v="6845200"/>
    <n v="5421540"/>
    <n v="0.79202068602816578"/>
  </r>
  <r>
    <x v="1"/>
    <x v="2"/>
    <x v="4"/>
    <n v="3256000"/>
    <n v="2564210"/>
    <n v="0.7875337837837838"/>
  </r>
  <r>
    <x v="0"/>
    <x v="3"/>
    <x v="5"/>
    <n v="3384500"/>
    <n v="2500000"/>
    <n v="0.73866154527995276"/>
  </r>
  <r>
    <x v="1"/>
    <x v="3"/>
    <x v="4"/>
    <n v="7451200"/>
    <n v="5500000"/>
    <n v="0.73813613914537257"/>
  </r>
  <r>
    <x v="2"/>
    <x v="2"/>
    <x v="6"/>
    <n v="9542100"/>
    <n v="6521000"/>
    <n v="0.68339254461806098"/>
  </r>
  <r>
    <x v="0"/>
    <x v="1"/>
    <x v="7"/>
    <n v="6345000"/>
    <n v="4251000"/>
    <n v="0.66997635933806143"/>
  </r>
  <r>
    <x v="1"/>
    <x v="0"/>
    <x v="8"/>
    <n v="6521420"/>
    <n v="4124100"/>
    <n v="0.63239294509477995"/>
  </r>
  <r>
    <x v="2"/>
    <x v="3"/>
    <x v="2"/>
    <n v="2456000"/>
    <n v="1500000"/>
    <n v="0.61074918566775249"/>
  </r>
  <r>
    <x v="1"/>
    <x v="1"/>
    <x v="1"/>
    <n v="8754200"/>
    <n v="3562000"/>
    <n v="0.4068904068904069"/>
  </r>
  <r>
    <x v="0"/>
    <x v="2"/>
    <x v="7"/>
    <n v="6453000"/>
    <n v="2500000"/>
    <n v="0.38741670540833723"/>
  </r>
  <r>
    <x v="1"/>
    <x v="0"/>
    <x v="8"/>
    <n v="2521420"/>
    <n v="4124100"/>
    <n v="1.6356259568021194"/>
  </r>
  <r>
    <x v="1"/>
    <x v="3"/>
    <x v="8"/>
    <n v="2521420"/>
    <n v="4124100"/>
    <n v="1.63562595680211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ED14F-7994-4D81-B769-5F472094154E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H3:M20" firstHeaderRow="1" firstDataRow="2" firstDataCol="2"/>
  <pivotFields count="6">
    <pivotField axis="axisRow" compact="0" subtotalTop="0" showAll="0">
      <items count="5">
        <item x="1"/>
        <item x="2"/>
        <item x="0"/>
        <item m="1" x="3"/>
        <item t="default"/>
      </items>
    </pivotField>
    <pivotField axis="axisCol" compact="0" subtotalTop="0" showAll="0">
      <items count="6">
        <item x="0"/>
        <item x="3"/>
        <item x="1"/>
        <item x="2"/>
        <item m="1" x="4"/>
        <item t="default"/>
      </items>
    </pivotField>
    <pivotField axis="axisRow" compact="0" subtotalTop="0" showAll="0">
      <items count="15">
        <item x="6"/>
        <item x="3"/>
        <item x="5"/>
        <item x="4"/>
        <item m="1" x="11"/>
        <item x="2"/>
        <item x="8"/>
        <item m="1" x="10"/>
        <item x="0"/>
        <item x="7"/>
        <item x="1"/>
        <item m="1" x="12"/>
        <item m="1" x="13"/>
        <item m="1" x="9"/>
        <item t="default"/>
      </items>
    </pivotField>
    <pivotField dataField="1" compact="0" numFmtId="41" subtotalTop="0" showAll="0"/>
    <pivotField compact="0" numFmtId="41" subtotalTop="0" showAll="0"/>
    <pivotField compact="0" numFmtId="10" subtotalTop="0" showAll="0"/>
  </pivotFields>
  <rowFields count="2">
    <field x="0"/>
    <field x="2"/>
  </rowFields>
  <rowItems count="16">
    <i>
      <x/>
    </i>
    <i r="1">
      <x v="3"/>
    </i>
    <i r="1">
      <x v="6"/>
    </i>
    <i r="1">
      <x v="10"/>
    </i>
    <i t="default">
      <x/>
    </i>
    <i>
      <x v="1"/>
    </i>
    <i r="1">
      <x/>
    </i>
    <i r="1">
      <x v="1"/>
    </i>
    <i r="1">
      <x v="5"/>
    </i>
    <i t="default">
      <x v="1"/>
    </i>
    <i>
      <x v="2"/>
    </i>
    <i r="1">
      <x v="2"/>
    </i>
    <i r="1">
      <x v="8"/>
    </i>
    <i r="1">
      <x v="9"/>
    </i>
    <i t="default">
      <x v="2"/>
    </i>
    <i t="grand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평균 : 외상매출액" fld="3" subtotal="average" baseField="0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1" max="1" width="12.375" bestFit="1" customWidth="1"/>
    <col min="2" max="2" width="9.5" bestFit="1" customWidth="1"/>
    <col min="3" max="3" width="11.625" bestFit="1" customWidth="1"/>
    <col min="4" max="4" width="16.625" bestFit="1" customWidth="1"/>
    <col min="6" max="6" width="10.375" bestFit="1" customWidth="1"/>
  </cols>
  <sheetData>
    <row r="1" spans="1:6">
      <c r="A1" s="1" t="s">
        <v>0</v>
      </c>
    </row>
    <row r="3" spans="1:6">
      <c r="A3" s="1" t="s">
        <v>216</v>
      </c>
      <c r="B3" s="1" t="s">
        <v>217</v>
      </c>
      <c r="C3" s="1" t="s">
        <v>218</v>
      </c>
      <c r="D3" s="1" t="s">
        <v>219</v>
      </c>
      <c r="E3" s="1" t="s">
        <v>220</v>
      </c>
      <c r="F3" s="1" t="s">
        <v>221</v>
      </c>
    </row>
    <row r="4" spans="1:6">
      <c r="A4" s="1" t="s">
        <v>222</v>
      </c>
      <c r="B4" s="1" t="s">
        <v>223</v>
      </c>
      <c r="C4" s="1">
        <v>12</v>
      </c>
      <c r="D4" s="1" t="s">
        <v>224</v>
      </c>
      <c r="E4" s="1">
        <v>35000</v>
      </c>
      <c r="F4" s="1" t="s">
        <v>225</v>
      </c>
    </row>
    <row r="5" spans="1:6">
      <c r="A5" s="1" t="s">
        <v>226</v>
      </c>
      <c r="B5" s="1" t="s">
        <v>227</v>
      </c>
      <c r="C5" s="1">
        <v>20</v>
      </c>
      <c r="D5" s="1" t="s">
        <v>228</v>
      </c>
      <c r="E5" s="1">
        <v>30000</v>
      </c>
      <c r="F5" s="1" t="s">
        <v>229</v>
      </c>
    </row>
    <row r="6" spans="1:6">
      <c r="A6" s="1" t="s">
        <v>230</v>
      </c>
      <c r="B6" s="1" t="s">
        <v>231</v>
      </c>
      <c r="C6" s="1">
        <v>12</v>
      </c>
      <c r="D6" s="1" t="s">
        <v>232</v>
      </c>
      <c r="E6" s="1">
        <v>39000</v>
      </c>
      <c r="F6" s="1" t="s">
        <v>233</v>
      </c>
    </row>
    <row r="7" spans="1:6">
      <c r="A7" s="1" t="s">
        <v>234</v>
      </c>
      <c r="B7" s="1" t="s">
        <v>235</v>
      </c>
      <c r="C7" s="1">
        <v>30</v>
      </c>
      <c r="D7" s="1" t="s">
        <v>236</v>
      </c>
      <c r="E7" s="1">
        <v>35000</v>
      </c>
      <c r="F7" s="1" t="s">
        <v>237</v>
      </c>
    </row>
    <row r="8" spans="1:6">
      <c r="A8" s="1" t="s">
        <v>238</v>
      </c>
      <c r="B8" s="1" t="s">
        <v>239</v>
      </c>
      <c r="C8" s="1">
        <v>10</v>
      </c>
      <c r="D8" s="1" t="s">
        <v>240</v>
      </c>
      <c r="E8" s="1">
        <v>36000</v>
      </c>
      <c r="F8" s="1" t="s">
        <v>241</v>
      </c>
    </row>
    <row r="9" spans="1:6">
      <c r="A9" s="1" t="s">
        <v>242</v>
      </c>
      <c r="B9" s="1" t="s">
        <v>243</v>
      </c>
      <c r="C9" s="1">
        <v>25</v>
      </c>
      <c r="D9" s="1" t="s">
        <v>244</v>
      </c>
      <c r="E9" s="1">
        <v>63000</v>
      </c>
      <c r="F9" s="1" t="s">
        <v>245</v>
      </c>
    </row>
    <row r="10" spans="1:6">
      <c r="A10" s="1" t="s">
        <v>246</v>
      </c>
      <c r="B10" s="1" t="s">
        <v>247</v>
      </c>
      <c r="C10" s="1">
        <v>15</v>
      </c>
      <c r="D10" s="1" t="s">
        <v>248</v>
      </c>
      <c r="E10" s="1">
        <v>70000</v>
      </c>
      <c r="F10" s="1" t="s">
        <v>249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workbookViewId="0">
      <selection sqref="A1:I1"/>
    </sheetView>
  </sheetViews>
  <sheetFormatPr defaultRowHeight="16.5"/>
  <cols>
    <col min="2" max="3" width="10.375" bestFit="1" customWidth="1"/>
    <col min="4" max="8" width="10.375" customWidth="1"/>
  </cols>
  <sheetData>
    <row r="1" spans="1:9" ht="19.5">
      <c r="A1" s="52" t="s">
        <v>1</v>
      </c>
      <c r="B1" s="52"/>
      <c r="C1" s="52"/>
      <c r="D1" s="52"/>
      <c r="E1" s="52"/>
      <c r="F1" s="52"/>
      <c r="G1" s="52"/>
      <c r="H1" s="52"/>
      <c r="I1" s="52"/>
    </row>
    <row r="2" spans="1:9">
      <c r="A2" s="2"/>
      <c r="B2" s="2"/>
      <c r="C2" s="2"/>
      <c r="D2" s="2"/>
      <c r="E2" s="2"/>
      <c r="F2" s="2"/>
      <c r="G2" s="2"/>
      <c r="H2" s="3"/>
      <c r="I2" s="2"/>
    </row>
    <row r="3" spans="1:9">
      <c r="A3" s="41" t="s">
        <v>2</v>
      </c>
      <c r="B3" s="41" t="s">
        <v>3</v>
      </c>
      <c r="C3" s="41" t="s">
        <v>4</v>
      </c>
      <c r="D3" s="41" t="s">
        <v>5</v>
      </c>
      <c r="E3" s="41" t="s">
        <v>6</v>
      </c>
      <c r="F3" s="41" t="s">
        <v>7</v>
      </c>
      <c r="G3" s="41" t="s">
        <v>8</v>
      </c>
      <c r="H3" s="41" t="s">
        <v>9</v>
      </c>
      <c r="I3" s="41" t="s">
        <v>10</v>
      </c>
    </row>
    <row r="4" spans="1:9">
      <c r="A4" s="42" t="s">
        <v>11</v>
      </c>
      <c r="B4" s="42" t="s">
        <v>12</v>
      </c>
      <c r="C4" s="42" t="s">
        <v>13</v>
      </c>
      <c r="D4" s="46">
        <v>1250000</v>
      </c>
      <c r="E4" s="46">
        <v>1130000</v>
      </c>
      <c r="F4" s="46">
        <v>980000</v>
      </c>
      <c r="G4" s="46">
        <v>1280000</v>
      </c>
      <c r="H4" s="46">
        <f>SUM(D4:G4)</f>
        <v>4640000</v>
      </c>
      <c r="I4" s="42">
        <f>RANK(H4,H$4:H$11)</f>
        <v>8</v>
      </c>
    </row>
    <row r="5" spans="1:9">
      <c r="A5" s="42" t="s">
        <v>14</v>
      </c>
      <c r="B5" s="42" t="s">
        <v>15</v>
      </c>
      <c r="C5" s="42" t="s">
        <v>16</v>
      </c>
      <c r="D5" s="46">
        <v>2700000</v>
      </c>
      <c r="E5" s="46">
        <v>2500000</v>
      </c>
      <c r="F5" s="46">
        <v>2890000</v>
      </c>
      <c r="G5" s="46">
        <v>3150000</v>
      </c>
      <c r="H5" s="46">
        <f t="shared" ref="H5:H11" si="0">SUM(D5:G5)</f>
        <v>11240000</v>
      </c>
      <c r="I5" s="42">
        <f t="shared" ref="I5:I11" si="1">RANK(H5,H$4:H$11)</f>
        <v>1</v>
      </c>
    </row>
    <row r="6" spans="1:9">
      <c r="A6" s="42" t="s">
        <v>17</v>
      </c>
      <c r="B6" s="42" t="s">
        <v>18</v>
      </c>
      <c r="C6" s="42" t="s">
        <v>19</v>
      </c>
      <c r="D6" s="46">
        <v>2079000</v>
      </c>
      <c r="E6" s="46">
        <v>1890000</v>
      </c>
      <c r="F6" s="46">
        <v>2298000</v>
      </c>
      <c r="G6" s="46">
        <v>1902000</v>
      </c>
      <c r="H6" s="46">
        <f t="shared" si="0"/>
        <v>8169000</v>
      </c>
      <c r="I6" s="42">
        <f t="shared" si="1"/>
        <v>5</v>
      </c>
    </row>
    <row r="7" spans="1:9">
      <c r="A7" s="42" t="s">
        <v>20</v>
      </c>
      <c r="B7" s="42" t="s">
        <v>21</v>
      </c>
      <c r="C7" s="42" t="s">
        <v>22</v>
      </c>
      <c r="D7" s="46">
        <v>1980000</v>
      </c>
      <c r="E7" s="46">
        <v>1750000</v>
      </c>
      <c r="F7" s="46">
        <v>2380000</v>
      </c>
      <c r="G7" s="46">
        <v>3160000</v>
      </c>
      <c r="H7" s="46">
        <f t="shared" si="0"/>
        <v>9270000</v>
      </c>
      <c r="I7" s="42">
        <f t="shared" si="1"/>
        <v>4</v>
      </c>
    </row>
    <row r="8" spans="1:9">
      <c r="A8" s="42" t="s">
        <v>23</v>
      </c>
      <c r="B8" s="42" t="s">
        <v>24</v>
      </c>
      <c r="C8" s="42" t="s">
        <v>13</v>
      </c>
      <c r="D8" s="46">
        <v>1682000</v>
      </c>
      <c r="E8" s="46">
        <v>1729000</v>
      </c>
      <c r="F8" s="46">
        <v>1924000</v>
      </c>
      <c r="G8" s="46">
        <v>2016000</v>
      </c>
      <c r="H8" s="46">
        <f t="shared" si="0"/>
        <v>7351000</v>
      </c>
      <c r="I8" s="42">
        <f t="shared" si="1"/>
        <v>6</v>
      </c>
    </row>
    <row r="9" spans="1:9">
      <c r="A9" s="42" t="s">
        <v>25</v>
      </c>
      <c r="B9" s="42" t="s">
        <v>26</v>
      </c>
      <c r="C9" s="42" t="s">
        <v>27</v>
      </c>
      <c r="D9" s="46">
        <v>974000</v>
      </c>
      <c r="E9" s="46">
        <v>1380000</v>
      </c>
      <c r="F9" s="46">
        <v>1732000</v>
      </c>
      <c r="G9" s="46">
        <v>1973000</v>
      </c>
      <c r="H9" s="46">
        <f t="shared" si="0"/>
        <v>6059000</v>
      </c>
      <c r="I9" s="42">
        <f t="shared" si="1"/>
        <v>7</v>
      </c>
    </row>
    <row r="10" spans="1:9">
      <c r="A10" s="42" t="s">
        <v>28</v>
      </c>
      <c r="B10" s="42" t="s">
        <v>29</v>
      </c>
      <c r="C10" s="42" t="s">
        <v>30</v>
      </c>
      <c r="D10" s="46">
        <v>2390000</v>
      </c>
      <c r="E10" s="46">
        <v>3120000</v>
      </c>
      <c r="F10" s="46">
        <v>2800000</v>
      </c>
      <c r="G10" s="46">
        <v>2450000</v>
      </c>
      <c r="H10" s="46">
        <f t="shared" si="0"/>
        <v>10760000</v>
      </c>
      <c r="I10" s="42">
        <f t="shared" si="1"/>
        <v>3</v>
      </c>
    </row>
    <row r="11" spans="1:9">
      <c r="A11" s="42" t="s">
        <v>31</v>
      </c>
      <c r="B11" s="42" t="s">
        <v>32</v>
      </c>
      <c r="C11" s="42" t="s">
        <v>33</v>
      </c>
      <c r="D11" s="46">
        <v>3020000</v>
      </c>
      <c r="E11" s="46">
        <v>1730000</v>
      </c>
      <c r="F11" s="46">
        <v>2870000</v>
      </c>
      <c r="G11" s="46">
        <v>3590000</v>
      </c>
      <c r="H11" s="46">
        <f t="shared" si="0"/>
        <v>11210000</v>
      </c>
      <c r="I11" s="42">
        <f t="shared" si="1"/>
        <v>2</v>
      </c>
    </row>
    <row r="12" spans="1:9">
      <c r="A12" s="42" t="s">
        <v>34</v>
      </c>
      <c r="B12" s="43"/>
      <c r="C12" s="43"/>
      <c r="D12" s="46">
        <f>SUM(D4:D11)</f>
        <v>16075000</v>
      </c>
      <c r="E12" s="46">
        <f t="shared" ref="E12:H12" si="2">SUM(E4:E11)</f>
        <v>15229000</v>
      </c>
      <c r="F12" s="46">
        <f t="shared" si="2"/>
        <v>17874000</v>
      </c>
      <c r="G12" s="46">
        <f t="shared" si="2"/>
        <v>19521000</v>
      </c>
      <c r="H12" s="46">
        <f t="shared" si="2"/>
        <v>68699000</v>
      </c>
      <c r="I12" s="43"/>
    </row>
  </sheetData>
  <mergeCells count="1">
    <mergeCell ref="A1:I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1"/>
  <sheetViews>
    <sheetView workbookViewId="0">
      <selection sqref="A1:H1"/>
    </sheetView>
  </sheetViews>
  <sheetFormatPr defaultRowHeight="16.5"/>
  <cols>
    <col min="1" max="1" width="12.375" bestFit="1" customWidth="1"/>
    <col min="7" max="7" width="9.875" bestFit="1" customWidth="1"/>
    <col min="8" max="8" width="10.25" bestFit="1" customWidth="1"/>
  </cols>
  <sheetData>
    <row r="1" spans="1:8" ht="26.25">
      <c r="A1" s="53" t="s">
        <v>283</v>
      </c>
      <c r="B1" s="53"/>
      <c r="C1" s="53"/>
      <c r="D1" s="53"/>
      <c r="E1" s="53"/>
      <c r="F1" s="53"/>
      <c r="G1" s="53"/>
      <c r="H1" s="53"/>
    </row>
    <row r="2" spans="1:8">
      <c r="A2" s="4"/>
      <c r="B2" s="4"/>
      <c r="C2" s="4"/>
      <c r="D2" s="4"/>
      <c r="E2" s="4"/>
      <c r="F2" s="4"/>
      <c r="G2" s="4"/>
      <c r="H2" s="4" t="s">
        <v>35</v>
      </c>
    </row>
    <row r="3" spans="1:8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</row>
    <row r="4" spans="1:8">
      <c r="A4" s="6" t="s">
        <v>44</v>
      </c>
      <c r="B4" s="5">
        <v>78</v>
      </c>
      <c r="C4" s="7">
        <v>350</v>
      </c>
      <c r="D4" s="7">
        <v>27300</v>
      </c>
      <c r="E4" s="7">
        <f t="shared" ref="E4:E11" si="0">C4+(C4*0.25)</f>
        <v>437.5</v>
      </c>
      <c r="F4" s="8">
        <v>0.04</v>
      </c>
      <c r="G4" s="7">
        <v>35490</v>
      </c>
      <c r="H4" s="7">
        <v>8190</v>
      </c>
    </row>
    <row r="5" spans="1:8">
      <c r="A5" s="6" t="s">
        <v>45</v>
      </c>
      <c r="B5" s="5">
        <v>120</v>
      </c>
      <c r="C5" s="7">
        <v>990</v>
      </c>
      <c r="D5" s="7">
        <v>118800</v>
      </c>
      <c r="E5" s="7">
        <f t="shared" si="0"/>
        <v>1237.5</v>
      </c>
      <c r="F5" s="8">
        <v>0.1</v>
      </c>
      <c r="G5" s="7">
        <v>163350</v>
      </c>
      <c r="H5" s="7">
        <v>44550</v>
      </c>
    </row>
    <row r="6" spans="1:8">
      <c r="A6" s="6" t="s">
        <v>46</v>
      </c>
      <c r="B6" s="5">
        <v>134</v>
      </c>
      <c r="C6" s="7">
        <v>465</v>
      </c>
      <c r="D6" s="7">
        <v>62310</v>
      </c>
      <c r="E6" s="7">
        <f t="shared" si="0"/>
        <v>581.25</v>
      </c>
      <c r="F6" s="8">
        <v>0.11</v>
      </c>
      <c r="G6" s="7">
        <v>86455.125</v>
      </c>
      <c r="H6" s="7">
        <v>24145.125</v>
      </c>
    </row>
    <row r="7" spans="1:8">
      <c r="A7" s="6" t="s">
        <v>47</v>
      </c>
      <c r="B7" s="5">
        <v>105</v>
      </c>
      <c r="C7" s="7">
        <v>870</v>
      </c>
      <c r="D7" s="7">
        <v>91350</v>
      </c>
      <c r="E7" s="7">
        <f t="shared" si="0"/>
        <v>1087.5</v>
      </c>
      <c r="F7" s="8">
        <v>0.1</v>
      </c>
      <c r="G7" s="7">
        <v>125606.25</v>
      </c>
      <c r="H7" s="7">
        <v>34256.25</v>
      </c>
    </row>
    <row r="8" spans="1:8">
      <c r="A8" s="6" t="s">
        <v>48</v>
      </c>
      <c r="B8" s="5">
        <v>55</v>
      </c>
      <c r="C8" s="7">
        <v>2100</v>
      </c>
      <c r="D8" s="7">
        <v>115500</v>
      </c>
      <c r="E8" s="7">
        <f t="shared" si="0"/>
        <v>2625</v>
      </c>
      <c r="F8" s="8">
        <v>0.02</v>
      </c>
      <c r="G8" s="7">
        <v>147262.5</v>
      </c>
      <c r="H8" s="7">
        <v>31762.5</v>
      </c>
    </row>
    <row r="9" spans="1:8">
      <c r="A9" s="6" t="s">
        <v>49</v>
      </c>
      <c r="B9" s="5">
        <v>89</v>
      </c>
      <c r="C9" s="7">
        <v>567</v>
      </c>
      <c r="D9" s="7">
        <v>50463</v>
      </c>
      <c r="E9" s="7">
        <f t="shared" si="0"/>
        <v>708.75</v>
      </c>
      <c r="F9" s="8">
        <v>0.03</v>
      </c>
      <c r="G9" s="7">
        <v>64971.112500000003</v>
      </c>
      <c r="H9" s="7">
        <v>14508.112500000003</v>
      </c>
    </row>
    <row r="10" spans="1:8">
      <c r="A10" s="6" t="s">
        <v>50</v>
      </c>
      <c r="B10" s="5">
        <v>56</v>
      </c>
      <c r="C10" s="7">
        <v>345</v>
      </c>
      <c r="D10" s="7">
        <v>19320</v>
      </c>
      <c r="E10" s="7">
        <f t="shared" si="0"/>
        <v>431.25</v>
      </c>
      <c r="F10" s="8">
        <v>0</v>
      </c>
      <c r="G10" s="7">
        <v>24150</v>
      </c>
      <c r="H10" s="7">
        <v>4830</v>
      </c>
    </row>
    <row r="11" spans="1:8">
      <c r="A11" s="6" t="s">
        <v>51</v>
      </c>
      <c r="B11" s="5">
        <v>189</v>
      </c>
      <c r="C11" s="7">
        <v>950</v>
      </c>
      <c r="D11" s="7">
        <v>179550</v>
      </c>
      <c r="E11" s="7">
        <f t="shared" si="0"/>
        <v>1187.5</v>
      </c>
      <c r="F11" s="8">
        <v>0.05</v>
      </c>
      <c r="G11" s="7">
        <v>235659.375</v>
      </c>
      <c r="H11" s="7">
        <v>56109.375</v>
      </c>
    </row>
  </sheetData>
  <mergeCells count="1">
    <mergeCell ref="A1:H1"/>
  </mergeCells>
  <phoneticPr fontId="2" type="noConversion"/>
  <conditionalFormatting sqref="A4:H11">
    <cfRule type="expression" dxfId="0" priority="1">
      <formula>AND($H4&gt;=10000,$H4&lt;=40000,$F4&gt;=10%)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6"/>
  <sheetViews>
    <sheetView workbookViewId="0"/>
  </sheetViews>
  <sheetFormatPr defaultRowHeight="16.5"/>
  <cols>
    <col min="2" max="2" width="10.75" bestFit="1" customWidth="1"/>
    <col min="3" max="3" width="11.125" bestFit="1" customWidth="1"/>
    <col min="4" max="4" width="10.625" customWidth="1"/>
    <col min="5" max="5" width="12.875" customWidth="1"/>
    <col min="7" max="8" width="11.875" customWidth="1"/>
    <col min="9" max="9" width="12" bestFit="1" customWidth="1"/>
  </cols>
  <sheetData>
    <row r="1" spans="1:9">
      <c r="A1" s="9" t="s">
        <v>52</v>
      </c>
      <c r="B1" s="10"/>
      <c r="C1" s="10"/>
      <c r="D1" s="10"/>
      <c r="E1" s="11"/>
      <c r="F1" s="9" t="s">
        <v>53</v>
      </c>
      <c r="G1" s="9"/>
      <c r="H1" s="9"/>
      <c r="I1" s="9"/>
    </row>
    <row r="2" spans="1:9">
      <c r="A2" s="12" t="s">
        <v>54</v>
      </c>
      <c r="B2" s="12" t="s">
        <v>55</v>
      </c>
      <c r="C2" s="12" t="s">
        <v>56</v>
      </c>
      <c r="D2" s="25" t="s">
        <v>57</v>
      </c>
      <c r="E2" s="11"/>
      <c r="F2" s="12" t="s">
        <v>58</v>
      </c>
      <c r="G2" s="12" t="s">
        <v>59</v>
      </c>
      <c r="H2" s="12" t="s">
        <v>60</v>
      </c>
      <c r="I2" s="25" t="s">
        <v>61</v>
      </c>
    </row>
    <row r="3" spans="1:9">
      <c r="A3" s="13" t="s">
        <v>62</v>
      </c>
      <c r="B3" s="12" t="s">
        <v>63</v>
      </c>
      <c r="C3" s="49">
        <v>184</v>
      </c>
      <c r="D3" s="15" t="str" cm="1">
        <f t="array" ref="D3">_xlfn.SWITCH(RIGHT(A3,1),"S","컴퓨터","T","프린터","R","스캐너")</f>
        <v>컴퓨터</v>
      </c>
      <c r="E3" s="11"/>
      <c r="F3" s="12" t="s">
        <v>64</v>
      </c>
      <c r="G3" s="12" t="s">
        <v>65</v>
      </c>
      <c r="H3" s="16">
        <v>800000</v>
      </c>
      <c r="I3" s="14" t="str" cm="1">
        <f t="array" ref="I3">_xlfn.IFS(H3&gt;=2000000,"보험료인상",H3&lt;1000000,"보험료인하",TRUE,"")</f>
        <v>보험료인하</v>
      </c>
    </row>
    <row r="4" spans="1:9">
      <c r="A4" s="13" t="s">
        <v>66</v>
      </c>
      <c r="B4" s="12" t="s">
        <v>67</v>
      </c>
      <c r="C4" s="49">
        <v>99</v>
      </c>
      <c r="D4" s="15" t="str" cm="1">
        <f t="array" ref="D4">_xlfn.SWITCH(RIGHT(A4,1),"S","컴퓨터","T","프린터","R","스캐너")</f>
        <v>프린터</v>
      </c>
      <c r="E4" s="11"/>
      <c r="F4" s="12" t="s">
        <v>68</v>
      </c>
      <c r="G4" s="12" t="s">
        <v>69</v>
      </c>
      <c r="H4" s="16">
        <v>750000</v>
      </c>
      <c r="I4" s="14" t="str" cm="1">
        <f t="array" ref="I4">_xlfn.IFS(H4&gt;=2000000,"보험료인상",H4&lt;1000000,"보험료인하",TRUE,"")</f>
        <v>보험료인하</v>
      </c>
    </row>
    <row r="5" spans="1:9">
      <c r="A5" s="13" t="s">
        <v>70</v>
      </c>
      <c r="B5" s="12" t="s">
        <v>71</v>
      </c>
      <c r="C5" s="49">
        <v>174</v>
      </c>
      <c r="D5" s="15" t="str" cm="1">
        <f t="array" ref="D5">_xlfn.SWITCH(RIGHT(A5,1),"S","컴퓨터","T","프린터","R","스캐너")</f>
        <v>스캐너</v>
      </c>
      <c r="E5" s="11"/>
      <c r="F5" s="12" t="s">
        <v>72</v>
      </c>
      <c r="G5" s="12" t="s">
        <v>73</v>
      </c>
      <c r="H5" s="16">
        <v>1200000</v>
      </c>
      <c r="I5" s="14" t="str" cm="1">
        <f t="array" ref="I5">_xlfn.IFS(H5&gt;=2000000,"보험료인상",H5&lt;1000000,"보험료인하",TRUE,"")</f>
        <v/>
      </c>
    </row>
    <row r="6" spans="1:9">
      <c r="A6" s="13" t="s">
        <v>74</v>
      </c>
      <c r="B6" s="12" t="s">
        <v>75</v>
      </c>
      <c r="C6" s="49">
        <v>86</v>
      </c>
      <c r="D6" s="15" t="str" cm="1">
        <f t="array" ref="D6">_xlfn.SWITCH(RIGHT(A6,1),"S","컴퓨터","T","프린터","R","스캐너")</f>
        <v>프린터</v>
      </c>
      <c r="E6" s="11"/>
      <c r="F6" s="12" t="s">
        <v>76</v>
      </c>
      <c r="G6" s="12" t="s">
        <v>77</v>
      </c>
      <c r="H6" s="16">
        <v>3400000</v>
      </c>
      <c r="I6" s="14" t="str" cm="1">
        <f t="array" ref="I6">_xlfn.IFS(H6&gt;=2000000,"보험료인상",H6&lt;1000000,"보험료인하",TRUE,"")</f>
        <v>보험료인상</v>
      </c>
    </row>
    <row r="7" spans="1:9">
      <c r="A7" s="13" t="s">
        <v>78</v>
      </c>
      <c r="B7" s="12" t="s">
        <v>79</v>
      </c>
      <c r="C7" s="49">
        <v>138</v>
      </c>
      <c r="D7" s="15" t="str" cm="1">
        <f t="array" ref="D7">_xlfn.SWITCH(RIGHT(A7,1),"S","컴퓨터","T","프린터","R","스캐너")</f>
        <v>컴퓨터</v>
      </c>
      <c r="E7" s="11"/>
      <c r="F7" s="12" t="s">
        <v>80</v>
      </c>
      <c r="G7" s="12" t="s">
        <v>81</v>
      </c>
      <c r="H7" s="16">
        <v>1100000</v>
      </c>
      <c r="I7" s="14" t="str" cm="1">
        <f t="array" ref="I7">_xlfn.IFS(H7&gt;=2000000,"보험료인상",H7&lt;1000000,"보험료인하",TRUE,"")</f>
        <v/>
      </c>
    </row>
    <row r="8" spans="1:9">
      <c r="A8" s="13" t="s">
        <v>273</v>
      </c>
      <c r="B8" s="12" t="s">
        <v>277</v>
      </c>
      <c r="C8" s="49">
        <v>150</v>
      </c>
      <c r="D8" s="15" t="str" cm="1">
        <f t="array" ref="D8">_xlfn.SWITCH(RIGHT(A8,1),"S","컴퓨터","T","프린터","R","스캐너")</f>
        <v>프린터</v>
      </c>
      <c r="E8" s="11"/>
      <c r="F8" s="12" t="s">
        <v>82</v>
      </c>
      <c r="G8" s="12" t="s">
        <v>77</v>
      </c>
      <c r="H8" s="16">
        <v>900000</v>
      </c>
      <c r="I8" s="14" t="str" cm="1">
        <f t="array" ref="I8">_xlfn.IFS(H8&gt;=2000000,"보험료인상",H8&lt;1000000,"보험료인하",TRUE,"")</f>
        <v>보험료인하</v>
      </c>
    </row>
    <row r="9" spans="1:9">
      <c r="A9" s="48" t="s">
        <v>274</v>
      </c>
      <c r="B9" s="48" t="s">
        <v>279</v>
      </c>
      <c r="C9" s="50">
        <v>31</v>
      </c>
      <c r="D9" s="15" t="str" cm="1">
        <f t="array" ref="D9">_xlfn.SWITCH(RIGHT(A9,1),"S","컴퓨터","T","프린터","R","스캐너")</f>
        <v>컴퓨터</v>
      </c>
      <c r="E9" s="11"/>
      <c r="F9" s="12" t="s">
        <v>83</v>
      </c>
      <c r="G9" s="12" t="s">
        <v>65</v>
      </c>
      <c r="H9" s="16">
        <v>2100000</v>
      </c>
      <c r="I9" s="14" t="str" cm="1">
        <f t="array" ref="I9">_xlfn.IFS(H9&gt;=2000000,"보험료인상",H9&lt;1000000,"보험료인하",TRUE,"")</f>
        <v>보험료인상</v>
      </c>
    </row>
    <row r="10" spans="1:9">
      <c r="A10" s="48" t="s">
        <v>275</v>
      </c>
      <c r="B10" s="48" t="s">
        <v>278</v>
      </c>
      <c r="C10" s="50">
        <v>74</v>
      </c>
      <c r="D10" s="15" t="str" cm="1">
        <f t="array" ref="D10">_xlfn.SWITCH(RIGHT(A10,1),"S","컴퓨터","T","프린터","R","스캐너")</f>
        <v>스캐너</v>
      </c>
      <c r="E10" s="11"/>
      <c r="F10" s="12" t="s">
        <v>84</v>
      </c>
      <c r="G10" s="12" t="s">
        <v>73</v>
      </c>
      <c r="H10" s="16">
        <v>1800000</v>
      </c>
      <c r="I10" s="14" t="str" cm="1">
        <f t="array" ref="I10">_xlfn.IFS(H10&gt;=2000000,"보험료인상",H10&lt;1000000,"보험료인하",TRUE,"")</f>
        <v/>
      </c>
    </row>
    <row r="11" spans="1:9">
      <c r="A11" s="48" t="s">
        <v>276</v>
      </c>
      <c r="B11" s="48" t="s">
        <v>280</v>
      </c>
      <c r="C11" s="50">
        <v>167</v>
      </c>
      <c r="D11" s="15" t="str" cm="1">
        <f t="array" ref="D11">_xlfn.SWITCH(RIGHT(A11,1),"S","컴퓨터","T","프린터","R","스캐너")</f>
        <v>프린터</v>
      </c>
      <c r="E11" s="11"/>
      <c r="F11" s="12" t="s">
        <v>85</v>
      </c>
      <c r="G11" s="12" t="s">
        <v>69</v>
      </c>
      <c r="H11" s="16">
        <v>2800000</v>
      </c>
      <c r="I11" s="14" t="str" cm="1">
        <f t="array" ref="I11">_xlfn.IFS(H11&gt;=2000000,"보험료인상",H11&lt;1000000,"보험료인하",TRUE,"")</f>
        <v>보험료인상</v>
      </c>
    </row>
    <row r="12" spans="1:9">
      <c r="E12" s="9"/>
      <c r="F12" s="9"/>
      <c r="G12" s="9"/>
      <c r="H12" s="9"/>
      <c r="I12" s="9"/>
    </row>
    <row r="13" spans="1:9">
      <c r="A13" s="20" t="s">
        <v>93</v>
      </c>
      <c r="B13" s="9"/>
      <c r="C13" s="9"/>
      <c r="E13" s="17" t="s">
        <v>87</v>
      </c>
      <c r="F13" s="9"/>
      <c r="G13" s="9"/>
      <c r="H13" s="9"/>
      <c r="I13" s="11"/>
    </row>
    <row r="14" spans="1:9">
      <c r="A14" s="21" t="s">
        <v>88</v>
      </c>
      <c r="B14" s="21" t="s">
        <v>97</v>
      </c>
      <c r="C14" s="25" t="s">
        <v>98</v>
      </c>
      <c r="D14" s="9"/>
      <c r="E14" s="18" t="s">
        <v>88</v>
      </c>
      <c r="F14" s="18" t="s">
        <v>89</v>
      </c>
      <c r="G14" s="18" t="s">
        <v>90</v>
      </c>
      <c r="H14" s="19" t="s">
        <v>91</v>
      </c>
      <c r="I14" s="19" t="s">
        <v>92</v>
      </c>
    </row>
    <row r="15" spans="1:9">
      <c r="A15" s="12" t="s">
        <v>102</v>
      </c>
      <c r="B15" s="22">
        <v>31949</v>
      </c>
      <c r="C15" s="23" t="str" cm="1">
        <f t="array" ref="C15">_xlfn.IFS(WEEKDAY(B15,2)=1,"월요일",WEEKDAY(B15,2)=2, "화요일", WEEKDAY(B15,2)=3, "수요일",WEEKDAY(B15,2)=4, "목요일",WEEKDAY(B15,2)=5, "금요일",WEEKDAY(B15,2)=6, "토요일",WEEKDAY(B15,2)=7, "일요일")</f>
        <v>일요일</v>
      </c>
      <c r="D15" s="9"/>
      <c r="E15" s="18" t="s">
        <v>94</v>
      </c>
      <c r="F15" s="18" t="s">
        <v>95</v>
      </c>
      <c r="G15" s="18" t="s">
        <v>96</v>
      </c>
      <c r="H15" s="16">
        <v>1750000</v>
      </c>
      <c r="I15" s="16">
        <f>ROUND(H15+H15*35%,-4)</f>
        <v>2360000</v>
      </c>
    </row>
    <row r="16" spans="1:9">
      <c r="A16" s="12" t="s">
        <v>106</v>
      </c>
      <c r="B16" s="22">
        <v>31337</v>
      </c>
      <c r="C16" s="23" t="str" cm="1">
        <f t="array" ref="C16">_xlfn.IFS(WEEKDAY(B16,2)=1,"월요일",WEEKDAY(B16,2)=2, "화요일", WEEKDAY(B16,2)=3, "수요일",WEEKDAY(B16,2)=4, "목요일",WEEKDAY(B16,2)=5, "금요일",WEEKDAY(B16,2)=6, "토요일",WEEKDAY(B16,2)=7, "일요일")</f>
        <v>목요일</v>
      </c>
      <c r="D16" s="9"/>
      <c r="E16" s="18" t="s">
        <v>99</v>
      </c>
      <c r="F16" s="18" t="s">
        <v>100</v>
      </c>
      <c r="G16" s="18" t="s">
        <v>101</v>
      </c>
      <c r="H16" s="16">
        <v>2350000</v>
      </c>
      <c r="I16" s="16">
        <f t="shared" ref="I16:I23" si="0">ROUND(H16+H16*35%,-4)</f>
        <v>3170000</v>
      </c>
    </row>
    <row r="17" spans="1:9">
      <c r="A17" s="12" t="s">
        <v>110</v>
      </c>
      <c r="B17" s="22">
        <v>31647</v>
      </c>
      <c r="C17" s="23" t="str" cm="1">
        <f t="array" ref="C17">_xlfn.IFS(WEEKDAY(B17,2)=1,"월요일",WEEKDAY(B17,2)=2, "화요일", WEEKDAY(B17,2)=3, "수요일",WEEKDAY(B17,2)=4, "목요일",WEEKDAY(B17,2)=5, "금요일",WEEKDAY(B17,2)=6, "토요일",WEEKDAY(B17,2)=7, "일요일")</f>
        <v>토요일</v>
      </c>
      <c r="D17" s="9"/>
      <c r="E17" s="18" t="s">
        <v>103</v>
      </c>
      <c r="F17" s="18" t="s">
        <v>104</v>
      </c>
      <c r="G17" s="18" t="s">
        <v>105</v>
      </c>
      <c r="H17" s="16">
        <v>2000000</v>
      </c>
      <c r="I17" s="16">
        <f t="shared" si="0"/>
        <v>2700000</v>
      </c>
    </row>
    <row r="18" spans="1:9">
      <c r="A18" s="12" t="s">
        <v>112</v>
      </c>
      <c r="B18" s="22">
        <v>32480</v>
      </c>
      <c r="C18" s="23" t="str" cm="1">
        <f t="array" ref="C18">_xlfn.IFS(WEEKDAY(B18,2)=1,"월요일",WEEKDAY(B18,2)=2, "화요일", WEEKDAY(B18,2)=3, "수요일",WEEKDAY(B18,2)=4, "목요일",WEEKDAY(B18,2)=5, "금요일",WEEKDAY(B18,2)=6, "토요일",WEEKDAY(B18,2)=7, "일요일")</f>
        <v>토요일</v>
      </c>
      <c r="D18" s="9"/>
      <c r="E18" s="18" t="s">
        <v>107</v>
      </c>
      <c r="F18" s="18" t="s">
        <v>108</v>
      </c>
      <c r="G18" s="18" t="s">
        <v>109</v>
      </c>
      <c r="H18" s="16">
        <v>2150000</v>
      </c>
      <c r="I18" s="16">
        <f t="shared" si="0"/>
        <v>2900000</v>
      </c>
    </row>
    <row r="19" spans="1:9">
      <c r="A19" s="12" t="s">
        <v>114</v>
      </c>
      <c r="B19" s="22">
        <v>31928</v>
      </c>
      <c r="C19" s="23" t="str" cm="1">
        <f t="array" ref="C19">_xlfn.IFS(WEEKDAY(B19,2)=1,"월요일",WEEKDAY(B19,2)=2, "화요일", WEEKDAY(B19,2)=3, "수요일",WEEKDAY(B19,2)=4, "목요일",WEEKDAY(B19,2)=5, "금요일",WEEKDAY(B19,2)=6, "토요일",WEEKDAY(B19,2)=7, "일요일")</f>
        <v>일요일</v>
      </c>
      <c r="D19" s="9"/>
      <c r="E19" s="18" t="s">
        <v>111</v>
      </c>
      <c r="F19" s="18" t="s">
        <v>95</v>
      </c>
      <c r="G19" s="18" t="s">
        <v>101</v>
      </c>
      <c r="H19" s="16">
        <v>1850000</v>
      </c>
      <c r="I19" s="16">
        <f t="shared" si="0"/>
        <v>2500000</v>
      </c>
    </row>
    <row r="20" spans="1:9">
      <c r="A20" s="12" t="s">
        <v>118</v>
      </c>
      <c r="B20" s="22">
        <v>31451</v>
      </c>
      <c r="C20" s="23" t="str" cm="1">
        <f t="array" ref="C20">_xlfn.IFS(WEEKDAY(B20,2)=1,"월요일",WEEKDAY(B20,2)=2, "화요일", WEEKDAY(B20,2)=3, "수요일",WEEKDAY(B20,2)=4, "목요일",WEEKDAY(B20,2)=5, "금요일",WEEKDAY(B20,2)=6, "토요일",WEEKDAY(B20,2)=7, "일요일")</f>
        <v>토요일</v>
      </c>
      <c r="D20" s="9"/>
      <c r="E20" s="18" t="s">
        <v>113</v>
      </c>
      <c r="F20" s="18" t="s">
        <v>100</v>
      </c>
      <c r="G20" s="18" t="s">
        <v>96</v>
      </c>
      <c r="H20" s="16">
        <v>2300000</v>
      </c>
      <c r="I20" s="16">
        <f t="shared" si="0"/>
        <v>3110000</v>
      </c>
    </row>
    <row r="21" spans="1:9">
      <c r="A21" s="12" t="s">
        <v>120</v>
      </c>
      <c r="B21" s="22">
        <v>32227</v>
      </c>
      <c r="C21" s="23" t="str" cm="1">
        <f t="array" ref="C21">_xlfn.IFS(WEEKDAY(B21,2)=1,"월요일",WEEKDAY(B21,2)=2, "화요일", WEEKDAY(B21,2)=3, "수요일",WEEKDAY(B21,2)=4, "목요일",WEEKDAY(B21,2)=5, "금요일",WEEKDAY(B21,2)=6, "토요일",WEEKDAY(B21,2)=7, "일요일")</f>
        <v>금요일</v>
      </c>
      <c r="D21" s="9"/>
      <c r="E21" s="18" t="s">
        <v>115</v>
      </c>
      <c r="F21" s="18" t="s">
        <v>116</v>
      </c>
      <c r="G21" s="18" t="s">
        <v>117</v>
      </c>
      <c r="H21" s="16">
        <v>1950000</v>
      </c>
      <c r="I21" s="16">
        <f t="shared" si="0"/>
        <v>2630000</v>
      </c>
    </row>
    <row r="22" spans="1:9">
      <c r="A22" s="12" t="s">
        <v>123</v>
      </c>
      <c r="B22" s="22">
        <v>31202</v>
      </c>
      <c r="C22" s="23" t="str" cm="1">
        <f t="array" ref="C22">_xlfn.IFS(WEEKDAY(B22,2)=1,"월요일",WEEKDAY(B22,2)=2, "화요일", WEEKDAY(B22,2)=3, "수요일",WEEKDAY(B22,2)=4, "목요일",WEEKDAY(B22,2)=5, "금요일",WEEKDAY(B22,2)=6, "토요일",WEEKDAY(B22,2)=7, "일요일")</f>
        <v>화요일</v>
      </c>
      <c r="D22" s="9"/>
      <c r="E22" s="18" t="s">
        <v>119</v>
      </c>
      <c r="F22" s="18" t="s">
        <v>116</v>
      </c>
      <c r="G22" s="18" t="s">
        <v>109</v>
      </c>
      <c r="H22" s="16">
        <v>1950000</v>
      </c>
      <c r="I22" s="16">
        <f t="shared" si="0"/>
        <v>2630000</v>
      </c>
    </row>
    <row r="23" spans="1:9">
      <c r="A23" s="48" t="s">
        <v>281</v>
      </c>
      <c r="B23" s="51">
        <v>33729</v>
      </c>
      <c r="C23" s="23" t="str" cm="1">
        <f t="array" ref="C23">_xlfn.IFS(WEEKDAY(B23,2)=1,"월요일",WEEKDAY(B23,2)=2, "화요일", WEEKDAY(B23,2)=3, "수요일",WEEKDAY(B23,2)=4, "목요일",WEEKDAY(B23,2)=5, "금요일",WEEKDAY(B23,2)=6, "토요일",WEEKDAY(B23,2)=7, "일요일")</f>
        <v>화요일</v>
      </c>
      <c r="D23" s="9"/>
      <c r="E23" s="18" t="s">
        <v>121</v>
      </c>
      <c r="F23" s="18" t="s">
        <v>122</v>
      </c>
      <c r="G23" s="18" t="s">
        <v>105</v>
      </c>
      <c r="H23" s="16">
        <v>1800000</v>
      </c>
      <c r="I23" s="16">
        <f t="shared" si="0"/>
        <v>2430000</v>
      </c>
    </row>
    <row r="24" spans="1:9">
      <c r="A24" s="48" t="s">
        <v>282</v>
      </c>
      <c r="B24" s="51">
        <v>34127</v>
      </c>
      <c r="C24" s="23" t="str" cm="1">
        <f t="array" ref="C24">_xlfn.IFS(WEEKDAY(B24,2)=1,"월요일",WEEKDAY(B24,2)=2, "화요일", WEEKDAY(B24,2)=3, "수요일",WEEKDAY(B24,2)=4, "목요일",WEEKDAY(B24,2)=5, "금요일",WEEKDAY(B24,2)=6, "토요일",WEEKDAY(B24,2)=7, "일요일")</f>
        <v>월요일</v>
      </c>
      <c r="D24" s="9"/>
      <c r="E24" s="54" t="s">
        <v>124</v>
      </c>
      <c r="F24" s="55"/>
      <c r="G24" s="55"/>
      <c r="H24" s="56"/>
      <c r="I24" s="16">
        <f>SUMIF(G15:G23,"영업부",I15:I23)/COUNTIF(G15:G23,"영업부")</f>
        <v>2750000</v>
      </c>
    </row>
    <row r="25" spans="1:9">
      <c r="A25" s="9"/>
      <c r="B25" s="9"/>
      <c r="C25" s="9"/>
      <c r="D25" s="9"/>
      <c r="E25" s="9"/>
      <c r="F25" s="9"/>
      <c r="G25" s="9"/>
      <c r="H25" s="9"/>
      <c r="I25" s="9"/>
    </row>
    <row r="26" spans="1:9">
      <c r="A26" s="9" t="s">
        <v>125</v>
      </c>
      <c r="B26" s="9"/>
      <c r="C26" s="9"/>
      <c r="D26" s="9"/>
      <c r="E26" s="11"/>
      <c r="F26" s="24"/>
      <c r="G26" s="9"/>
      <c r="H26" s="9"/>
      <c r="I26" s="9"/>
    </row>
    <row r="27" spans="1:9">
      <c r="A27" s="12" t="s">
        <v>57</v>
      </c>
      <c r="B27" s="12" t="s">
        <v>126</v>
      </c>
      <c r="C27" s="12" t="s">
        <v>127</v>
      </c>
      <c r="D27" s="12" t="s">
        <v>128</v>
      </c>
      <c r="E27" s="12" t="s">
        <v>129</v>
      </c>
      <c r="F27" s="9"/>
      <c r="G27" s="9"/>
      <c r="H27" s="9"/>
      <c r="I27" s="9"/>
    </row>
    <row r="28" spans="1:9">
      <c r="A28" s="12" t="s">
        <v>130</v>
      </c>
      <c r="B28" s="12" t="s">
        <v>131</v>
      </c>
      <c r="C28" s="16">
        <v>700000</v>
      </c>
      <c r="D28" s="16">
        <v>88</v>
      </c>
      <c r="E28" s="16">
        <f>C28*D28</f>
        <v>61600000</v>
      </c>
      <c r="F28" s="9"/>
      <c r="G28" s="9"/>
      <c r="H28" s="9"/>
      <c r="I28" s="9"/>
    </row>
    <row r="29" spans="1:9">
      <c r="A29" s="12" t="s">
        <v>132</v>
      </c>
      <c r="B29" s="12" t="s">
        <v>131</v>
      </c>
      <c r="C29" s="16">
        <v>1000000</v>
      </c>
      <c r="D29" s="16">
        <v>92</v>
      </c>
      <c r="E29" s="16">
        <f t="shared" ref="E29:E36" si="1">C29*D29</f>
        <v>92000000</v>
      </c>
      <c r="F29" s="9"/>
      <c r="G29" s="9"/>
      <c r="H29" s="9"/>
      <c r="I29" s="9"/>
    </row>
    <row r="30" spans="1:9">
      <c r="A30" s="12" t="s">
        <v>133</v>
      </c>
      <c r="B30" s="12" t="s">
        <v>134</v>
      </c>
      <c r="C30" s="16">
        <v>450000</v>
      </c>
      <c r="D30" s="16">
        <v>86</v>
      </c>
      <c r="E30" s="16">
        <f t="shared" si="1"/>
        <v>38700000</v>
      </c>
      <c r="F30" s="24"/>
      <c r="G30" s="9"/>
      <c r="H30" s="9"/>
      <c r="I30" s="9"/>
    </row>
    <row r="31" spans="1:9">
      <c r="A31" s="12" t="s">
        <v>135</v>
      </c>
      <c r="B31" s="12" t="s">
        <v>136</v>
      </c>
      <c r="C31" s="16">
        <v>700000</v>
      </c>
      <c r="D31" s="16">
        <v>102</v>
      </c>
      <c r="E31" s="16">
        <f t="shared" si="1"/>
        <v>71400000</v>
      </c>
      <c r="F31" s="24"/>
      <c r="G31" s="9"/>
      <c r="H31" s="9"/>
      <c r="I31" s="9"/>
    </row>
    <row r="32" spans="1:9">
      <c r="A32" s="12" t="s">
        <v>137</v>
      </c>
      <c r="B32" s="12" t="s">
        <v>131</v>
      </c>
      <c r="C32" s="16">
        <v>500000</v>
      </c>
      <c r="D32" s="16">
        <v>86</v>
      </c>
      <c r="E32" s="16">
        <f t="shared" si="1"/>
        <v>43000000</v>
      </c>
      <c r="F32" s="9"/>
      <c r="G32" s="9"/>
      <c r="H32" s="9"/>
      <c r="I32" s="9"/>
    </row>
    <row r="33" spans="1:9">
      <c r="A33" s="12" t="s">
        <v>132</v>
      </c>
      <c r="B33" s="12" t="s">
        <v>138</v>
      </c>
      <c r="C33" s="16">
        <v>1200000</v>
      </c>
      <c r="D33" s="16">
        <v>99</v>
      </c>
      <c r="E33" s="16">
        <f t="shared" si="1"/>
        <v>118800000</v>
      </c>
      <c r="F33" s="9"/>
      <c r="G33" s="9"/>
      <c r="H33" s="9"/>
      <c r="I33" s="9"/>
    </row>
    <row r="34" spans="1:9">
      <c r="A34" s="12" t="s">
        <v>130</v>
      </c>
      <c r="B34" s="12" t="s">
        <v>139</v>
      </c>
      <c r="C34" s="16">
        <v>700000</v>
      </c>
      <c r="D34" s="16">
        <v>111</v>
      </c>
      <c r="E34" s="16">
        <f t="shared" si="1"/>
        <v>77700000</v>
      </c>
      <c r="F34" s="9"/>
      <c r="G34" s="9"/>
      <c r="H34" s="9"/>
      <c r="I34" s="9"/>
    </row>
    <row r="35" spans="1:9">
      <c r="A35" s="12" t="s">
        <v>51</v>
      </c>
      <c r="B35" s="12" t="s">
        <v>131</v>
      </c>
      <c r="C35" s="16">
        <v>980000</v>
      </c>
      <c r="D35" s="16">
        <v>100</v>
      </c>
      <c r="E35" s="16">
        <f t="shared" si="1"/>
        <v>98000000</v>
      </c>
      <c r="F35" s="9"/>
      <c r="G35" s="54" t="s">
        <v>140</v>
      </c>
      <c r="H35" s="56"/>
      <c r="I35" s="9"/>
    </row>
    <row r="36" spans="1:9">
      <c r="A36" s="12" t="s">
        <v>47</v>
      </c>
      <c r="B36" s="12" t="s">
        <v>141</v>
      </c>
      <c r="C36" s="16">
        <v>1400000</v>
      </c>
      <c r="D36" s="16">
        <v>76</v>
      </c>
      <c r="E36" s="16">
        <f t="shared" si="1"/>
        <v>106400000</v>
      </c>
      <c r="F36" s="9"/>
      <c r="G36" s="57" t="str">
        <f>ROUNDUP(DAVERAGE(A27:E36,5,B27:B28),-3)&amp;"원"</f>
        <v>73650000원</v>
      </c>
      <c r="H36" s="58"/>
      <c r="I36" s="9"/>
    </row>
  </sheetData>
  <mergeCells count="3">
    <mergeCell ref="E24:H24"/>
    <mergeCell ref="G35:H35"/>
    <mergeCell ref="G36:H36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20"/>
  <sheetViews>
    <sheetView workbookViewId="0"/>
  </sheetViews>
  <sheetFormatPr defaultRowHeight="16.5"/>
  <cols>
    <col min="1" max="1" width="9.125" bestFit="1" customWidth="1"/>
    <col min="2" max="2" width="10.375" bestFit="1" customWidth="1"/>
    <col min="4" max="6" width="11.875" customWidth="1"/>
    <col min="8" max="8" width="16.375" bestFit="1" customWidth="1"/>
    <col min="9" max="9" width="10.75" bestFit="1" customWidth="1"/>
    <col min="10" max="13" width="12.375" bestFit="1" customWidth="1"/>
    <col min="14" max="14" width="10.75" bestFit="1" customWidth="1"/>
  </cols>
  <sheetData>
    <row r="1" spans="1:13">
      <c r="A1" s="26" t="s">
        <v>142</v>
      </c>
      <c r="B1" s="26"/>
      <c r="C1" s="26"/>
      <c r="E1" s="26"/>
      <c r="F1" s="26"/>
    </row>
    <row r="2" spans="1:13">
      <c r="A2" s="26"/>
      <c r="B2" s="26"/>
      <c r="C2" s="26"/>
      <c r="D2" s="26"/>
      <c r="E2" s="26"/>
      <c r="F2" s="26"/>
    </row>
    <row r="3" spans="1:13">
      <c r="A3" s="27" t="s">
        <v>143</v>
      </c>
      <c r="B3" s="28" t="s">
        <v>144</v>
      </c>
      <c r="C3" s="28" t="s">
        <v>145</v>
      </c>
      <c r="D3" s="29" t="s">
        <v>146</v>
      </c>
      <c r="E3" s="29" t="s">
        <v>147</v>
      </c>
      <c r="F3" s="30" t="s">
        <v>148</v>
      </c>
      <c r="H3" s="44" t="s">
        <v>268</v>
      </c>
      <c r="J3" s="44" t="s">
        <v>36</v>
      </c>
    </row>
    <row r="4" spans="1:13">
      <c r="A4" s="27" t="s">
        <v>149</v>
      </c>
      <c r="B4" s="28" t="s">
        <v>150</v>
      </c>
      <c r="C4" s="28" t="s">
        <v>151</v>
      </c>
      <c r="D4" s="29">
        <v>1135000</v>
      </c>
      <c r="E4" s="29">
        <v>1100000</v>
      </c>
      <c r="F4" s="31">
        <f t="shared" ref="F4:F16" si="0">E4/D4</f>
        <v>0.96916299559471364</v>
      </c>
      <c r="H4" s="44" t="s">
        <v>269</v>
      </c>
      <c r="I4" s="44" t="s">
        <v>250</v>
      </c>
      <c r="J4" t="s">
        <v>253</v>
      </c>
      <c r="K4" t="s">
        <v>254</v>
      </c>
      <c r="L4" t="s">
        <v>256</v>
      </c>
      <c r="M4" t="s">
        <v>255</v>
      </c>
    </row>
    <row r="5" spans="1:13">
      <c r="A5" s="27" t="s">
        <v>152</v>
      </c>
      <c r="B5" s="28" t="s">
        <v>51</v>
      </c>
      <c r="C5" s="28" t="s">
        <v>166</v>
      </c>
      <c r="D5" s="29">
        <v>2215200</v>
      </c>
      <c r="E5" s="29">
        <v>2000000</v>
      </c>
      <c r="F5" s="31">
        <f t="shared" si="0"/>
        <v>0.90285301552907182</v>
      </c>
      <c r="H5" t="s">
        <v>251</v>
      </c>
      <c r="J5" s="47"/>
      <c r="K5" s="47"/>
      <c r="L5" s="47"/>
      <c r="M5" s="47"/>
    </row>
    <row r="6" spans="1:13">
      <c r="A6" s="27" t="s">
        <v>155</v>
      </c>
      <c r="B6" s="28" t="s">
        <v>150</v>
      </c>
      <c r="C6" s="28" t="s">
        <v>165</v>
      </c>
      <c r="D6" s="29">
        <v>5332500</v>
      </c>
      <c r="E6" s="29">
        <v>2685000</v>
      </c>
      <c r="F6" s="31">
        <f t="shared" si="0"/>
        <v>0.50351617440225038</v>
      </c>
      <c r="I6" t="s">
        <v>259</v>
      </c>
      <c r="J6" s="47"/>
      <c r="K6" s="47">
        <v>7451200</v>
      </c>
      <c r="L6" s="47"/>
      <c r="M6" s="47">
        <v>3256000</v>
      </c>
    </row>
    <row r="7" spans="1:13">
      <c r="A7" s="27" t="s">
        <v>257</v>
      </c>
      <c r="B7" s="28" t="s">
        <v>154</v>
      </c>
      <c r="C7" s="28" t="s">
        <v>156</v>
      </c>
      <c r="D7" s="29">
        <v>6845200</v>
      </c>
      <c r="E7" s="29">
        <v>5421540</v>
      </c>
      <c r="F7" s="31">
        <f t="shared" si="0"/>
        <v>0.79202068602816578</v>
      </c>
      <c r="I7" t="s">
        <v>260</v>
      </c>
      <c r="J7" s="47">
        <v>4521420</v>
      </c>
      <c r="K7" s="47">
        <v>2521420</v>
      </c>
      <c r="L7" s="47"/>
      <c r="M7" s="47"/>
    </row>
    <row r="8" spans="1:13">
      <c r="A8" s="27" t="s">
        <v>157</v>
      </c>
      <c r="B8" s="32" t="s">
        <v>153</v>
      </c>
      <c r="C8" s="32" t="s">
        <v>161</v>
      </c>
      <c r="D8" s="29">
        <v>3256000</v>
      </c>
      <c r="E8" s="29">
        <v>2564210</v>
      </c>
      <c r="F8" s="31">
        <f t="shared" si="0"/>
        <v>0.7875337837837838</v>
      </c>
      <c r="I8" t="s">
        <v>261</v>
      </c>
      <c r="J8" s="47"/>
      <c r="K8" s="47"/>
      <c r="L8" s="47">
        <v>5484700</v>
      </c>
      <c r="M8" s="47"/>
    </row>
    <row r="9" spans="1:13">
      <c r="A9" s="27" t="s">
        <v>258</v>
      </c>
      <c r="B9" s="32" t="s">
        <v>158</v>
      </c>
      <c r="C9" s="32" t="s">
        <v>159</v>
      </c>
      <c r="D9" s="29">
        <v>3384500</v>
      </c>
      <c r="E9" s="29">
        <v>2500000</v>
      </c>
      <c r="F9" s="31">
        <f t="shared" si="0"/>
        <v>0.73866154527995276</v>
      </c>
      <c r="H9" t="s">
        <v>270</v>
      </c>
      <c r="J9" s="47">
        <v>4521420</v>
      </c>
      <c r="K9" s="47">
        <v>4986310</v>
      </c>
      <c r="L9" s="47">
        <v>5484700</v>
      </c>
      <c r="M9" s="47">
        <v>3256000</v>
      </c>
    </row>
    <row r="10" spans="1:13">
      <c r="A10" s="27" t="s">
        <v>157</v>
      </c>
      <c r="B10" s="32" t="s">
        <v>160</v>
      </c>
      <c r="C10" s="32" t="s">
        <v>161</v>
      </c>
      <c r="D10" s="29">
        <v>7451200</v>
      </c>
      <c r="E10" s="29">
        <v>5500000</v>
      </c>
      <c r="F10" s="31">
        <f t="shared" si="0"/>
        <v>0.73813613914537257</v>
      </c>
      <c r="H10" t="s">
        <v>155</v>
      </c>
      <c r="J10" s="47"/>
      <c r="K10" s="47"/>
      <c r="L10" s="47"/>
      <c r="M10" s="47"/>
    </row>
    <row r="11" spans="1:13">
      <c r="A11" s="27" t="s">
        <v>257</v>
      </c>
      <c r="B11" s="32" t="s">
        <v>153</v>
      </c>
      <c r="C11" s="32" t="s">
        <v>162</v>
      </c>
      <c r="D11" s="29">
        <v>9542100</v>
      </c>
      <c r="E11" s="29">
        <v>6521000</v>
      </c>
      <c r="F11" s="31">
        <f t="shared" si="0"/>
        <v>0.68339254461806098</v>
      </c>
      <c r="I11" t="s">
        <v>262</v>
      </c>
      <c r="J11" s="47"/>
      <c r="K11" s="47"/>
      <c r="L11" s="47"/>
      <c r="M11" s="47">
        <v>9542100</v>
      </c>
    </row>
    <row r="12" spans="1:13">
      <c r="A12" s="27" t="s">
        <v>258</v>
      </c>
      <c r="B12" s="32" t="s">
        <v>154</v>
      </c>
      <c r="C12" s="32" t="s">
        <v>163</v>
      </c>
      <c r="D12" s="29">
        <v>6345000</v>
      </c>
      <c r="E12" s="29">
        <v>4251000</v>
      </c>
      <c r="F12" s="31">
        <f t="shared" si="0"/>
        <v>0.66997635933806143</v>
      </c>
      <c r="I12" t="s">
        <v>263</v>
      </c>
      <c r="J12" s="47"/>
      <c r="K12" s="47"/>
      <c r="L12" s="47">
        <v>6845200</v>
      </c>
      <c r="M12" s="47"/>
    </row>
    <row r="13" spans="1:13">
      <c r="A13" s="27" t="s">
        <v>157</v>
      </c>
      <c r="B13" s="32" t="s">
        <v>150</v>
      </c>
      <c r="C13" s="32" t="s">
        <v>164</v>
      </c>
      <c r="D13" s="29">
        <v>6521420</v>
      </c>
      <c r="E13" s="29">
        <v>4124100</v>
      </c>
      <c r="F13" s="31">
        <f t="shared" si="0"/>
        <v>0.63239294509477995</v>
      </c>
      <c r="I13" t="s">
        <v>264</v>
      </c>
      <c r="J13" s="47">
        <v>5332500</v>
      </c>
      <c r="K13" s="47">
        <v>2456000</v>
      </c>
      <c r="L13" s="47"/>
      <c r="M13" s="47"/>
    </row>
    <row r="14" spans="1:13">
      <c r="A14" s="27" t="s">
        <v>257</v>
      </c>
      <c r="B14" s="32" t="s">
        <v>158</v>
      </c>
      <c r="C14" s="32" t="s">
        <v>165</v>
      </c>
      <c r="D14" s="29">
        <v>2456000</v>
      </c>
      <c r="E14" s="29">
        <v>1500000</v>
      </c>
      <c r="F14" s="31">
        <f t="shared" si="0"/>
        <v>0.61074918566775249</v>
      </c>
      <c r="H14" t="s">
        <v>271</v>
      </c>
      <c r="J14" s="47">
        <v>5332500</v>
      </c>
      <c r="K14" s="47">
        <v>2456000</v>
      </c>
      <c r="L14" s="47">
        <v>6845200</v>
      </c>
      <c r="M14" s="47">
        <v>9542100</v>
      </c>
    </row>
    <row r="15" spans="1:13">
      <c r="A15" s="27" t="s">
        <v>157</v>
      </c>
      <c r="B15" s="32" t="s">
        <v>154</v>
      </c>
      <c r="C15" s="32" t="s">
        <v>166</v>
      </c>
      <c r="D15" s="29">
        <v>8754200</v>
      </c>
      <c r="E15" s="29">
        <v>3562000</v>
      </c>
      <c r="F15" s="31">
        <f t="shared" si="0"/>
        <v>0.4068904068904069</v>
      </c>
      <c r="H15" t="s">
        <v>149</v>
      </c>
      <c r="J15" s="47"/>
      <c r="K15" s="47"/>
      <c r="L15" s="47"/>
      <c r="M15" s="47"/>
    </row>
    <row r="16" spans="1:13">
      <c r="A16" s="27" t="s">
        <v>258</v>
      </c>
      <c r="B16" s="32" t="s">
        <v>153</v>
      </c>
      <c r="C16" s="32" t="s">
        <v>163</v>
      </c>
      <c r="D16" s="29">
        <v>6453000</v>
      </c>
      <c r="E16" s="29">
        <v>2500000</v>
      </c>
      <c r="F16" s="31">
        <f t="shared" si="0"/>
        <v>0.38741670540833723</v>
      </c>
      <c r="I16" t="s">
        <v>265</v>
      </c>
      <c r="J16" s="47"/>
      <c r="K16" s="47">
        <v>3384500</v>
      </c>
      <c r="L16" s="47"/>
      <c r="M16" s="47"/>
    </row>
    <row r="17" spans="1:13">
      <c r="A17" s="27" t="s">
        <v>67</v>
      </c>
      <c r="B17" s="32" t="s">
        <v>130</v>
      </c>
      <c r="C17" s="32" t="s">
        <v>164</v>
      </c>
      <c r="D17" s="29">
        <v>2521420</v>
      </c>
      <c r="E17" s="29">
        <v>4124100</v>
      </c>
      <c r="F17" s="31">
        <f t="shared" ref="F17" si="1">E17/D17</f>
        <v>1.6356259568021194</v>
      </c>
      <c r="I17" t="s">
        <v>266</v>
      </c>
      <c r="J17" s="47">
        <v>1135000</v>
      </c>
      <c r="K17" s="47"/>
      <c r="L17" s="47"/>
      <c r="M17" s="47"/>
    </row>
    <row r="18" spans="1:13">
      <c r="A18" s="27" t="s">
        <v>67</v>
      </c>
      <c r="B18" s="32" t="s">
        <v>49</v>
      </c>
      <c r="C18" s="32" t="s">
        <v>164</v>
      </c>
      <c r="D18" s="29">
        <v>2521420</v>
      </c>
      <c r="E18" s="29">
        <v>4124100</v>
      </c>
      <c r="F18" s="31">
        <f t="shared" ref="F18" si="2">E18/D18</f>
        <v>1.6356259568021194</v>
      </c>
      <c r="I18" t="s">
        <v>267</v>
      </c>
      <c r="J18" s="47"/>
      <c r="K18" s="47"/>
      <c r="L18" s="47">
        <v>6345000</v>
      </c>
      <c r="M18" s="47">
        <v>6453000</v>
      </c>
    </row>
    <row r="19" spans="1:13">
      <c r="H19" t="s">
        <v>272</v>
      </c>
      <c r="J19" s="47">
        <v>1135000</v>
      </c>
      <c r="K19" s="47">
        <v>3384500</v>
      </c>
      <c r="L19" s="47">
        <v>6345000</v>
      </c>
      <c r="M19" s="47">
        <v>6453000</v>
      </c>
    </row>
    <row r="20" spans="1:13">
      <c r="H20" t="s">
        <v>252</v>
      </c>
      <c r="J20" s="47">
        <v>3877585</v>
      </c>
      <c r="K20" s="47">
        <v>3953280</v>
      </c>
      <c r="L20" s="47">
        <v>6039900</v>
      </c>
      <c r="M20" s="47">
        <v>6417033.333333333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5"/>
  <sheetViews>
    <sheetView workbookViewId="0"/>
  </sheetViews>
  <sheetFormatPr defaultRowHeight="16.5"/>
  <cols>
    <col min="1" max="1" width="11.125" bestFit="1" customWidth="1"/>
    <col min="4" max="4" width="11.625" bestFit="1" customWidth="1"/>
    <col min="6" max="6" width="11.125" bestFit="1" customWidth="1"/>
    <col min="7" max="7" width="10.625" customWidth="1"/>
    <col min="8" max="8" width="13.125" customWidth="1"/>
    <col min="9" max="9" width="11.625" bestFit="1" customWidth="1"/>
  </cols>
  <sheetData>
    <row r="1" spans="1:10">
      <c r="A1" s="4" t="s">
        <v>167</v>
      </c>
      <c r="B1" s="4" t="s">
        <v>168</v>
      </c>
      <c r="C1" s="4"/>
      <c r="D1" s="4"/>
      <c r="E1" s="4"/>
      <c r="F1" s="4" t="s">
        <v>169</v>
      </c>
      <c r="G1" s="4" t="s">
        <v>170</v>
      </c>
      <c r="H1" s="4"/>
      <c r="I1" s="4"/>
      <c r="J1" s="33"/>
    </row>
    <row r="2" spans="1:10">
      <c r="A2" s="5" t="s">
        <v>171</v>
      </c>
      <c r="B2" s="5" t="s">
        <v>172</v>
      </c>
      <c r="C2" s="5" t="s">
        <v>173</v>
      </c>
      <c r="D2" s="5" t="s">
        <v>174</v>
      </c>
      <c r="E2" s="4"/>
      <c r="F2" s="5" t="s">
        <v>175</v>
      </c>
      <c r="G2" s="5" t="s">
        <v>172</v>
      </c>
      <c r="H2" s="5" t="s">
        <v>173</v>
      </c>
      <c r="I2" s="5" t="s">
        <v>176</v>
      </c>
      <c r="J2" s="33"/>
    </row>
    <row r="3" spans="1:10">
      <c r="A3" s="34" t="s">
        <v>177</v>
      </c>
      <c r="B3" s="35">
        <v>21</v>
      </c>
      <c r="C3" s="35">
        <v>540000</v>
      </c>
      <c r="D3" s="35">
        <v>11340000</v>
      </c>
      <c r="E3" s="4"/>
      <c r="F3" s="34" t="s">
        <v>177</v>
      </c>
      <c r="G3" s="35">
        <v>30</v>
      </c>
      <c r="H3" s="35">
        <v>540000</v>
      </c>
      <c r="I3" s="35">
        <v>16200000</v>
      </c>
      <c r="J3" s="33"/>
    </row>
    <row r="4" spans="1:10">
      <c r="A4" s="34" t="s">
        <v>86</v>
      </c>
      <c r="B4" s="35">
        <v>30</v>
      </c>
      <c r="C4" s="35">
        <v>90000</v>
      </c>
      <c r="D4" s="35">
        <v>2700000</v>
      </c>
      <c r="E4" s="4"/>
      <c r="F4" s="34" t="s">
        <v>86</v>
      </c>
      <c r="G4" s="35">
        <v>54</v>
      </c>
      <c r="H4" s="35">
        <v>90000</v>
      </c>
      <c r="I4" s="35">
        <v>4860000</v>
      </c>
      <c r="J4" s="33"/>
    </row>
    <row r="5" spans="1:10">
      <c r="A5" s="34" t="s">
        <v>178</v>
      </c>
      <c r="B5" s="35">
        <v>10</v>
      </c>
      <c r="C5" s="35">
        <v>20000</v>
      </c>
      <c r="D5" s="35">
        <v>200000</v>
      </c>
      <c r="E5" s="4"/>
      <c r="F5" s="34" t="s">
        <v>178</v>
      </c>
      <c r="G5" s="35">
        <v>12</v>
      </c>
      <c r="H5" s="35">
        <v>20000</v>
      </c>
      <c r="I5" s="35">
        <v>240000</v>
      </c>
      <c r="J5" s="33"/>
    </row>
    <row r="6" spans="1:10">
      <c r="A6" s="34" t="s">
        <v>179</v>
      </c>
      <c r="B6" s="35">
        <v>50</v>
      </c>
      <c r="C6" s="35">
        <v>45000</v>
      </c>
      <c r="D6" s="35">
        <v>2250000</v>
      </c>
      <c r="E6" s="4"/>
      <c r="F6" s="34" t="s">
        <v>179</v>
      </c>
      <c r="G6" s="35">
        <v>60</v>
      </c>
      <c r="H6" s="35">
        <v>45000</v>
      </c>
      <c r="I6" s="35">
        <v>2700000</v>
      </c>
      <c r="J6" s="33"/>
    </row>
    <row r="7" spans="1:10">
      <c r="A7" s="4"/>
      <c r="B7" s="4"/>
      <c r="C7" s="4"/>
      <c r="D7" s="4"/>
      <c r="E7" s="4"/>
      <c r="F7" s="4"/>
      <c r="G7" s="4"/>
      <c r="H7" s="4"/>
      <c r="I7" s="4"/>
      <c r="J7" s="33"/>
    </row>
    <row r="8" spans="1:10">
      <c r="A8" s="4"/>
      <c r="B8" s="4"/>
      <c r="C8" s="4"/>
      <c r="D8" s="4"/>
      <c r="E8" s="4"/>
      <c r="F8" s="4"/>
      <c r="G8" s="4"/>
      <c r="H8" s="4"/>
      <c r="I8" s="4"/>
      <c r="J8" s="33"/>
    </row>
    <row r="9" spans="1:10">
      <c r="A9" s="4" t="s">
        <v>180</v>
      </c>
      <c r="B9" s="4" t="s">
        <v>181</v>
      </c>
      <c r="C9" s="4"/>
      <c r="D9" s="4"/>
      <c r="E9" s="4"/>
      <c r="F9" s="4" t="s">
        <v>182</v>
      </c>
      <c r="G9" s="4" t="s">
        <v>183</v>
      </c>
      <c r="H9" s="4"/>
      <c r="I9" s="4"/>
      <c r="J9" s="33"/>
    </row>
    <row r="10" spans="1:10">
      <c r="A10" s="5" t="s">
        <v>175</v>
      </c>
      <c r="B10" s="5" t="s">
        <v>184</v>
      </c>
      <c r="C10" s="5" t="s">
        <v>185</v>
      </c>
      <c r="D10" s="5" t="s">
        <v>174</v>
      </c>
      <c r="E10" s="4"/>
      <c r="F10" s="5" t="s">
        <v>175</v>
      </c>
      <c r="G10" s="5" t="s">
        <v>172</v>
      </c>
      <c r="H10" s="5" t="s">
        <v>176</v>
      </c>
      <c r="I10" s="4"/>
      <c r="J10" s="33"/>
    </row>
    <row r="11" spans="1:10">
      <c r="A11" s="34" t="s">
        <v>177</v>
      </c>
      <c r="B11" s="35">
        <v>80</v>
      </c>
      <c r="C11" s="35">
        <v>540000</v>
      </c>
      <c r="D11" s="35">
        <v>43200000</v>
      </c>
      <c r="E11" s="4"/>
      <c r="F11" s="34" t="s">
        <v>186</v>
      </c>
      <c r="G11" s="36">
        <v>43.666666666666664</v>
      </c>
      <c r="H11" s="36">
        <v>23580000</v>
      </c>
      <c r="I11" s="4"/>
      <c r="J11" s="33"/>
    </row>
    <row r="12" spans="1:10">
      <c r="A12" s="34" t="s">
        <v>187</v>
      </c>
      <c r="B12" s="35">
        <v>45</v>
      </c>
      <c r="C12" s="35">
        <v>90000</v>
      </c>
      <c r="D12" s="35">
        <v>4050000</v>
      </c>
      <c r="E12" s="4"/>
      <c r="F12" s="34" t="s">
        <v>188</v>
      </c>
      <c r="G12" s="36">
        <v>43</v>
      </c>
      <c r="H12" s="36">
        <v>3870000</v>
      </c>
      <c r="I12" s="4"/>
      <c r="J12" s="33"/>
    </row>
    <row r="13" spans="1:10">
      <c r="A13" s="34" t="s">
        <v>178</v>
      </c>
      <c r="B13" s="35">
        <v>11</v>
      </c>
      <c r="C13" s="35">
        <v>20000</v>
      </c>
      <c r="D13" s="35">
        <v>220000</v>
      </c>
      <c r="E13" s="4"/>
      <c r="F13" s="34" t="s">
        <v>189</v>
      </c>
      <c r="G13" s="36">
        <v>11</v>
      </c>
      <c r="H13" s="36">
        <v>220000</v>
      </c>
      <c r="I13" s="4"/>
      <c r="J13" s="33"/>
    </row>
    <row r="14" spans="1:10">
      <c r="A14" s="34" t="s">
        <v>179</v>
      </c>
      <c r="B14" s="35">
        <v>55</v>
      </c>
      <c r="C14" s="35">
        <v>45000</v>
      </c>
      <c r="D14" s="35">
        <v>2475000</v>
      </c>
      <c r="E14" s="4"/>
      <c r="F14" s="34" t="s">
        <v>190</v>
      </c>
      <c r="G14" s="36">
        <v>55</v>
      </c>
      <c r="H14" s="36">
        <v>2475000</v>
      </c>
      <c r="I14" s="4"/>
      <c r="J14" s="33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33"/>
    </row>
  </sheetData>
  <dataConsolidate function="average" topLabels="1">
    <dataRefs count="3">
      <dataRef ref="A2:D6" sheet="분석작업-2"/>
      <dataRef ref="F2:I6" sheet="분석작업-2"/>
      <dataRef ref="A10:D14" sheet="분석작업-2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1"/>
  <sheetViews>
    <sheetView workbookViewId="0"/>
  </sheetViews>
  <sheetFormatPr defaultRowHeight="16.5"/>
  <cols>
    <col min="3" max="3" width="9.625" bestFit="1" customWidth="1"/>
    <col min="4" max="4" width="8.75" bestFit="1" customWidth="1"/>
    <col min="5" max="5" width="9.625" bestFit="1" customWidth="1"/>
  </cols>
  <sheetData>
    <row r="1" spans="1:5">
      <c r="A1" s="37" t="s">
        <v>191</v>
      </c>
      <c r="B1" s="37" t="s">
        <v>192</v>
      </c>
      <c r="C1" s="37"/>
      <c r="D1" s="37"/>
      <c r="E1" s="37"/>
    </row>
    <row r="2" spans="1:5">
      <c r="A2" s="37"/>
      <c r="B2" s="37"/>
      <c r="C2" s="37"/>
      <c r="D2" s="37"/>
      <c r="E2" s="37"/>
    </row>
    <row r="3" spans="1:5">
      <c r="A3" s="38" t="s">
        <v>193</v>
      </c>
      <c r="B3" s="38" t="s">
        <v>194</v>
      </c>
      <c r="C3" s="38" t="s">
        <v>195</v>
      </c>
      <c r="D3" s="38" t="s">
        <v>196</v>
      </c>
      <c r="E3" s="38" t="s">
        <v>197</v>
      </c>
    </row>
    <row r="4" spans="1:5">
      <c r="A4" s="39" t="s">
        <v>198</v>
      </c>
      <c r="B4" s="40">
        <v>80</v>
      </c>
      <c r="C4" s="45">
        <v>56000</v>
      </c>
      <c r="D4" s="45">
        <v>5600</v>
      </c>
      <c r="E4" s="45">
        <f>C4+D4</f>
        <v>61600</v>
      </c>
    </row>
    <row r="5" spans="1:5">
      <c r="A5" s="39" t="s">
        <v>199</v>
      </c>
      <c r="B5" s="40">
        <v>100</v>
      </c>
      <c r="C5" s="45">
        <v>70000</v>
      </c>
      <c r="D5" s="45">
        <v>7000</v>
      </c>
      <c r="E5" s="45">
        <f t="shared" ref="E5:E10" si="0">C5+D5</f>
        <v>77000</v>
      </c>
    </row>
    <row r="6" spans="1:5">
      <c r="A6" s="39" t="s">
        <v>200</v>
      </c>
      <c r="B6" s="40">
        <v>120</v>
      </c>
      <c r="C6" s="45">
        <v>84000</v>
      </c>
      <c r="D6" s="45">
        <v>8400</v>
      </c>
      <c r="E6" s="45">
        <f t="shared" si="0"/>
        <v>92400</v>
      </c>
    </row>
    <row r="7" spans="1:5">
      <c r="A7" s="39" t="s">
        <v>201</v>
      </c>
      <c r="B7" s="40">
        <v>230</v>
      </c>
      <c r="C7" s="45">
        <v>161000</v>
      </c>
      <c r="D7" s="45">
        <v>16100</v>
      </c>
      <c r="E7" s="45">
        <f t="shared" si="0"/>
        <v>177100</v>
      </c>
    </row>
    <row r="8" spans="1:5">
      <c r="A8" s="39" t="s">
        <v>202</v>
      </c>
      <c r="B8" s="40">
        <v>90</v>
      </c>
      <c r="C8" s="45">
        <v>63000</v>
      </c>
      <c r="D8" s="45">
        <v>6300</v>
      </c>
      <c r="E8" s="45">
        <f t="shared" si="0"/>
        <v>69300</v>
      </c>
    </row>
    <row r="9" spans="1:5">
      <c r="A9" s="39" t="s">
        <v>203</v>
      </c>
      <c r="B9" s="40">
        <v>110</v>
      </c>
      <c r="C9" s="45">
        <v>77000</v>
      </c>
      <c r="D9" s="45">
        <v>7700</v>
      </c>
      <c r="E9" s="45">
        <f t="shared" si="0"/>
        <v>84700</v>
      </c>
    </row>
    <row r="10" spans="1:5">
      <c r="A10" s="39" t="s">
        <v>204</v>
      </c>
      <c r="B10" s="40">
        <v>180</v>
      </c>
      <c r="C10" s="45">
        <v>126000</v>
      </c>
      <c r="D10" s="45">
        <v>12600</v>
      </c>
      <c r="E10" s="45">
        <f t="shared" si="0"/>
        <v>138600</v>
      </c>
    </row>
    <row r="11" spans="1:5">
      <c r="A11" s="33"/>
      <c r="B11" s="33"/>
      <c r="C11" s="33"/>
      <c r="D11" s="33"/>
      <c r="E11" s="33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6.5"/>
  <cols>
    <col min="2" max="2" width="15" bestFit="1" customWidth="1"/>
    <col min="3" max="4" width="10.625" bestFit="1" customWidth="1"/>
    <col min="5" max="5" width="11.625" bestFit="1" customWidth="1"/>
  </cols>
  <sheetData>
    <row r="1" spans="1:5">
      <c r="A1" s="4"/>
      <c r="B1" s="4" t="s">
        <v>205</v>
      </c>
      <c r="C1" s="4"/>
      <c r="D1" s="4"/>
      <c r="E1" s="4"/>
    </row>
    <row r="2" spans="1:5">
      <c r="A2" s="4"/>
      <c r="B2" s="4"/>
      <c r="C2" s="4"/>
      <c r="D2" s="4"/>
      <c r="E2" s="4"/>
    </row>
    <row r="3" spans="1:5">
      <c r="A3" s="5" t="s">
        <v>206</v>
      </c>
      <c r="B3" s="5" t="s">
        <v>207</v>
      </c>
      <c r="C3" s="5" t="s">
        <v>208</v>
      </c>
      <c r="D3" s="5" t="s">
        <v>209</v>
      </c>
      <c r="E3" s="5" t="s">
        <v>210</v>
      </c>
    </row>
    <row r="4" spans="1:5">
      <c r="A4" s="34" t="s">
        <v>211</v>
      </c>
      <c r="B4" s="35">
        <v>4350000</v>
      </c>
      <c r="C4" s="35">
        <v>2500000</v>
      </c>
      <c r="D4" s="35">
        <v>1350000</v>
      </c>
      <c r="E4" s="35">
        <v>5400000</v>
      </c>
    </row>
    <row r="5" spans="1:5">
      <c r="A5" s="34" t="s">
        <v>212</v>
      </c>
      <c r="B5" s="35">
        <v>3500000</v>
      </c>
      <c r="C5" s="35">
        <v>1300000</v>
      </c>
      <c r="D5" s="35">
        <v>1800000</v>
      </c>
      <c r="E5" s="35">
        <v>6500000</v>
      </c>
    </row>
    <row r="6" spans="1:5">
      <c r="A6" s="34" t="s">
        <v>213</v>
      </c>
      <c r="B6" s="35">
        <v>2300000</v>
      </c>
      <c r="C6" s="35">
        <v>1100000</v>
      </c>
      <c r="D6" s="35">
        <v>1200000</v>
      </c>
      <c r="E6" s="35">
        <v>2500000</v>
      </c>
    </row>
    <row r="7" spans="1:5">
      <c r="A7" s="34" t="s">
        <v>214</v>
      </c>
      <c r="B7" s="35">
        <v>3200000</v>
      </c>
      <c r="C7" s="35">
        <v>2350000</v>
      </c>
      <c r="D7" s="35">
        <v>1000000</v>
      </c>
      <c r="E7" s="35">
        <v>2580000</v>
      </c>
    </row>
    <row r="8" spans="1:5">
      <c r="A8" s="34" t="s">
        <v>215</v>
      </c>
      <c r="B8" s="35">
        <v>2200000</v>
      </c>
      <c r="C8" s="35">
        <v>900000</v>
      </c>
      <c r="D8" s="35">
        <v>1500000</v>
      </c>
      <c r="E8" s="35">
        <v>27500000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설계사명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2020-04-10T09:49:17Z</dcterms:created>
  <dcterms:modified xsi:type="dcterms:W3CDTF">2023-08-15T21:30:57Z</dcterms:modified>
</cp:coreProperties>
</file>