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영진(2024년)\2급\2024컴활2급\기출변형문제\정답\"/>
    </mc:Choice>
  </mc:AlternateContent>
  <xr:revisionPtr revIDLastSave="0" documentId="13_ncr:1_{CDC383BA-AEBD-4B48-9C36-1F581FF8A591}" xr6:coauthVersionLast="47" xr6:coauthVersionMax="47" xr10:uidLastSave="{00000000-0000-0000-0000-000000000000}"/>
  <bookViews>
    <workbookView xWindow="190" yWindow="1760" windowWidth="18060" windowHeight="17180" tabRatio="788" xr2:uid="{00000000-000D-0000-FFFF-FFFF00000000}"/>
  </bookViews>
  <sheets>
    <sheet name="기본작업-1" sheetId="1" r:id="rId1"/>
    <sheet name="기본작업-2" sheetId="2" r:id="rId2"/>
    <sheet name="기본작업-3" sheetId="3" r:id="rId3"/>
    <sheet name="계산작업" sheetId="9" r:id="rId4"/>
    <sheet name="분석작업-1" sheetId="5" r:id="rId5"/>
    <sheet name="분석작업-2" sheetId="6" r:id="rId6"/>
    <sheet name="매크로작업" sheetId="7" r:id="rId7"/>
    <sheet name="차트작업" sheetId="8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" i="9" l="1"/>
  <c r="I8" i="9"/>
  <c r="D15" i="9"/>
  <c r="D16" i="9"/>
  <c r="D17" i="9"/>
  <c r="D18" i="9"/>
  <c r="D19" i="9"/>
  <c r="D20" i="9"/>
  <c r="D14" i="9"/>
  <c r="F4" i="9"/>
  <c r="F5" i="9"/>
  <c r="F6" i="9"/>
  <c r="F7" i="9"/>
  <c r="F8" i="9"/>
  <c r="F9" i="9"/>
  <c r="F10" i="9"/>
  <c r="F3" i="9"/>
  <c r="G9" i="9"/>
  <c r="G10" i="9"/>
  <c r="G8" i="9" l="1"/>
  <c r="G7" i="9"/>
  <c r="G6" i="9"/>
  <c r="G5" i="9"/>
  <c r="G4" i="9"/>
  <c r="G3" i="9"/>
  <c r="F9" i="7" l="1"/>
  <c r="E9" i="7"/>
  <c r="C8" i="6" l="1"/>
  <c r="C14" i="6" s="1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6" i="5"/>
  <c r="E5" i="5"/>
  <c r="E4" i="5"/>
  <c r="E3" i="5"/>
  <c r="H13" i="3"/>
  <c r="H12" i="3"/>
  <c r="H11" i="3"/>
  <c r="H10" i="3"/>
  <c r="H9" i="3"/>
  <c r="H8" i="3"/>
  <c r="H7" i="3"/>
  <c r="H6" i="3"/>
  <c r="H5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D7" authorId="0" shapeId="0" xr:uid="{00000000-0006-0000-0100-000001000000}">
      <text>
        <r>
          <rPr>
            <b/>
            <sz val="9"/>
            <color indexed="81"/>
            <rFont val="돋움"/>
            <family val="3"/>
            <charset val="129"/>
          </rPr>
          <t>가장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많은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회원수</t>
        </r>
      </text>
    </comment>
  </commentList>
</comments>
</file>

<file path=xl/sharedStrings.xml><?xml version="1.0" encoding="utf-8"?>
<sst xmlns="http://schemas.openxmlformats.org/spreadsheetml/2006/main" count="262" uniqueCount="217">
  <si>
    <t>Books for baby</t>
    <phoneticPr fontId="1" type="noConversion"/>
  </si>
  <si>
    <t>운영 중인 온라인 카페 현황</t>
    <phoneticPr fontId="1" type="noConversion"/>
  </si>
  <si>
    <t>카페명</t>
    <phoneticPr fontId="1" type="noConversion"/>
  </si>
  <si>
    <t>카페회장</t>
    <phoneticPr fontId="1" type="noConversion"/>
  </si>
  <si>
    <t>개설일</t>
    <phoneticPr fontId="1" type="noConversion"/>
  </si>
  <si>
    <t>카페회원</t>
    <phoneticPr fontId="1" type="noConversion"/>
  </si>
  <si>
    <t>가입비</t>
    <phoneticPr fontId="1" type="noConversion"/>
  </si>
  <si>
    <t>정기모임
참석비율</t>
    <phoneticPr fontId="1" type="noConversion"/>
  </si>
  <si>
    <t>정기모임
요일</t>
    <phoneticPr fontId="1" type="noConversion"/>
  </si>
  <si>
    <t>아루 할머니의 영어 카페</t>
    <phoneticPr fontId="1" type="noConversion"/>
  </si>
  <si>
    <t>김신숙</t>
    <phoneticPr fontId="1" type="noConversion"/>
  </si>
  <si>
    <t>화요일</t>
    <phoneticPr fontId="1" type="noConversion"/>
  </si>
  <si>
    <t>품앗이 파워</t>
    <phoneticPr fontId="1" type="noConversion"/>
  </si>
  <si>
    <t>송재영</t>
    <phoneticPr fontId="1" type="noConversion"/>
  </si>
  <si>
    <t>목요일</t>
    <phoneticPr fontId="1" type="noConversion"/>
  </si>
  <si>
    <t>나치 엄마들의 생각 키우기</t>
    <phoneticPr fontId="1" type="noConversion"/>
  </si>
  <si>
    <t>김철수</t>
    <phoneticPr fontId="1" type="noConversion"/>
  </si>
  <si>
    <t>금요일</t>
    <phoneticPr fontId="1" type="noConversion"/>
  </si>
  <si>
    <t>맘스홀 홈스쿨</t>
    <phoneticPr fontId="1" type="noConversion"/>
  </si>
  <si>
    <t>박명은</t>
    <phoneticPr fontId="1" type="noConversion"/>
  </si>
  <si>
    <t>토요일</t>
    <phoneticPr fontId="1" type="noConversion"/>
  </si>
  <si>
    <t>녹색 자전거</t>
    <phoneticPr fontId="1" type="noConversion"/>
  </si>
  <si>
    <t>이재호</t>
    <phoneticPr fontId="1" type="noConversion"/>
  </si>
  <si>
    <t>토요일</t>
    <phoneticPr fontId="1" type="noConversion"/>
  </si>
  <si>
    <t>플루트 찬송</t>
    <phoneticPr fontId="1" type="noConversion"/>
  </si>
  <si>
    <t>황가연</t>
    <phoneticPr fontId="1" type="noConversion"/>
  </si>
  <si>
    <t>일요일</t>
    <phoneticPr fontId="1" type="noConversion"/>
  </si>
  <si>
    <t>봉사의 기쁨</t>
    <phoneticPr fontId="1" type="noConversion"/>
  </si>
  <si>
    <t>최한나</t>
    <phoneticPr fontId="1" type="noConversion"/>
  </si>
  <si>
    <t>수요일</t>
    <phoneticPr fontId="1" type="noConversion"/>
  </si>
  <si>
    <t>신입사원 채용 시험 결과</t>
  </si>
  <si>
    <t>응시번호</t>
  </si>
  <si>
    <t>성명</t>
  </si>
  <si>
    <t>전공</t>
  </si>
  <si>
    <t>필기점수</t>
  </si>
  <si>
    <t>실기점수</t>
  </si>
  <si>
    <t>면접점수</t>
  </si>
  <si>
    <t>총점</t>
  </si>
  <si>
    <t>A11-587</t>
    <phoneticPr fontId="3" type="noConversion"/>
  </si>
  <si>
    <t>유효선</t>
  </si>
  <si>
    <t>경영학과</t>
  </si>
  <si>
    <t>E12-201</t>
    <phoneticPr fontId="3" type="noConversion"/>
  </si>
  <si>
    <t>이성일</t>
  </si>
  <si>
    <t>경제학과</t>
  </si>
  <si>
    <t>A20-890</t>
    <phoneticPr fontId="3" type="noConversion"/>
  </si>
  <si>
    <t>조인선</t>
  </si>
  <si>
    <t>무역학과</t>
  </si>
  <si>
    <t>B13-850</t>
    <phoneticPr fontId="3" type="noConversion"/>
  </si>
  <si>
    <t>손영자</t>
  </si>
  <si>
    <t>C45-560</t>
    <phoneticPr fontId="3" type="noConversion"/>
  </si>
  <si>
    <t>박종찬</t>
  </si>
  <si>
    <t>A59-860</t>
    <phoneticPr fontId="3" type="noConversion"/>
  </si>
  <si>
    <t>김준호</t>
  </si>
  <si>
    <t>B20-963</t>
    <phoneticPr fontId="3" type="noConversion"/>
  </si>
  <si>
    <t>정세라</t>
  </si>
  <si>
    <t>A34-620</t>
    <phoneticPr fontId="3" type="noConversion"/>
  </si>
  <si>
    <t>최진호</t>
  </si>
  <si>
    <t>A96-741</t>
    <phoneticPr fontId="3" type="noConversion"/>
  </si>
  <si>
    <t>정서영</t>
  </si>
  <si>
    <t>[표1]</t>
    <phoneticPr fontId="3" type="noConversion"/>
  </si>
  <si>
    <t>이름</t>
    <phoneticPr fontId="3" type="noConversion"/>
  </si>
  <si>
    <t>영어</t>
    <phoneticPr fontId="3" type="noConversion"/>
  </si>
  <si>
    <t>소속</t>
    <phoneticPr fontId="3" type="noConversion"/>
  </si>
  <si>
    <t>서초</t>
    <phoneticPr fontId="3" type="noConversion"/>
  </si>
  <si>
    <t>방배</t>
    <phoneticPr fontId="3" type="noConversion"/>
  </si>
  <si>
    <t>[표3]</t>
    <phoneticPr fontId="3" type="noConversion"/>
  </si>
  <si>
    <t>판매실적</t>
    <phoneticPr fontId="3" type="noConversion"/>
  </si>
  <si>
    <t>지역</t>
    <phoneticPr fontId="3" type="noConversion"/>
  </si>
  <si>
    <t>교재명</t>
    <phoneticPr fontId="3" type="noConversion"/>
  </si>
  <si>
    <t>판매량</t>
    <phoneticPr fontId="3" type="noConversion"/>
  </si>
  <si>
    <t>판매금액</t>
    <phoneticPr fontId="3" type="noConversion"/>
  </si>
  <si>
    <t>서울</t>
    <phoneticPr fontId="3" type="noConversion"/>
  </si>
  <si>
    <t>컴활1급</t>
    <phoneticPr fontId="3" type="noConversion"/>
  </si>
  <si>
    <t>판매가</t>
    <phoneticPr fontId="3" type="noConversion"/>
  </si>
  <si>
    <t>청주</t>
    <phoneticPr fontId="3" type="noConversion"/>
  </si>
  <si>
    <t>워드1급</t>
    <phoneticPr fontId="3" type="noConversion"/>
  </si>
  <si>
    <t>59사</t>
    <phoneticPr fontId="3" type="noConversion"/>
  </si>
  <si>
    <t>부산</t>
    <phoneticPr fontId="3" type="noConversion"/>
  </si>
  <si>
    <t>컴활2급</t>
    <phoneticPr fontId="3" type="noConversion"/>
  </si>
  <si>
    <t>워드2급</t>
    <phoneticPr fontId="3" type="noConversion"/>
  </si>
  <si>
    <t>광주</t>
    <phoneticPr fontId="3" type="noConversion"/>
  </si>
  <si>
    <t>강릉</t>
    <phoneticPr fontId="3" type="noConversion"/>
  </si>
  <si>
    <t>제로</t>
    <phoneticPr fontId="3" type="noConversion"/>
  </si>
  <si>
    <t>대구</t>
    <phoneticPr fontId="3" type="noConversion"/>
  </si>
  <si>
    <t>대전</t>
    <phoneticPr fontId="3" type="noConversion"/>
  </si>
  <si>
    <t>입사 시험 평가 점수</t>
    <phoneticPr fontId="3" type="noConversion"/>
  </si>
  <si>
    <t>수학</t>
    <phoneticPr fontId="3" type="noConversion"/>
  </si>
  <si>
    <t>면접점수</t>
    <phoneticPr fontId="3" type="noConversion"/>
  </si>
  <si>
    <t>평가</t>
    <phoneticPr fontId="3" type="noConversion"/>
  </si>
  <si>
    <t>고은비</t>
    <phoneticPr fontId="3" type="noConversion"/>
  </si>
  <si>
    <t>김시진</t>
    <phoneticPr fontId="3" type="noConversion"/>
  </si>
  <si>
    <t>김민영</t>
    <phoneticPr fontId="3" type="noConversion"/>
  </si>
  <si>
    <t>조아라</t>
    <phoneticPr fontId="3" type="noConversion"/>
  </si>
  <si>
    <t>이성철</t>
    <phoneticPr fontId="3" type="noConversion"/>
  </si>
  <si>
    <t>박승진</t>
    <phoneticPr fontId="3" type="noConversion"/>
  </si>
  <si>
    <t>[표1]</t>
    <phoneticPr fontId="3" type="noConversion"/>
  </si>
  <si>
    <t>상품명</t>
    <phoneticPr fontId="3" type="noConversion"/>
  </si>
  <si>
    <t>매입수량</t>
    <phoneticPr fontId="3" type="noConversion"/>
  </si>
  <si>
    <t>매출수량</t>
    <phoneticPr fontId="3" type="noConversion"/>
  </si>
  <si>
    <t>재고수량</t>
    <phoneticPr fontId="3" type="noConversion"/>
  </si>
  <si>
    <t>WOW-01</t>
    <phoneticPr fontId="3" type="noConversion"/>
  </si>
  <si>
    <t>TALK-01</t>
    <phoneticPr fontId="3" type="noConversion"/>
  </si>
  <si>
    <t>WOW-03</t>
  </si>
  <si>
    <t>SALT-01</t>
    <phoneticPr fontId="3" type="noConversion"/>
  </si>
  <si>
    <t>TALK-02</t>
  </si>
  <si>
    <t>SHA-02</t>
  </si>
  <si>
    <t>[표2]</t>
    <phoneticPr fontId="3" type="noConversion"/>
  </si>
  <si>
    <t>[표4]</t>
    <phoneticPr fontId="3" type="noConversion"/>
  </si>
  <si>
    <t xml:space="preserve">서울 재고 현황 </t>
    <phoneticPr fontId="3" type="noConversion"/>
  </si>
  <si>
    <t>매출수량</t>
    <phoneticPr fontId="3" type="noConversion"/>
  </si>
  <si>
    <t>재고수량</t>
    <phoneticPr fontId="3" type="noConversion"/>
  </si>
  <si>
    <t>상품명</t>
    <phoneticPr fontId="3" type="noConversion"/>
  </si>
  <si>
    <t>매입수량</t>
    <phoneticPr fontId="3" type="noConversion"/>
  </si>
  <si>
    <t>SHA-01</t>
    <phoneticPr fontId="3" type="noConversion"/>
  </si>
  <si>
    <t>WOW-02</t>
  </si>
  <si>
    <t>TALK-03</t>
  </si>
  <si>
    <t>MAT-01</t>
    <phoneticPr fontId="3" type="noConversion"/>
  </si>
  <si>
    <t>WOW-01</t>
    <phoneticPr fontId="3" type="noConversion"/>
  </si>
  <si>
    <t>TALK-01</t>
    <phoneticPr fontId="3" type="noConversion"/>
  </si>
  <si>
    <t>MNA-02</t>
    <phoneticPr fontId="3" type="noConversion"/>
  </si>
  <si>
    <t>순이익 계산</t>
    <phoneticPr fontId="3" type="noConversion"/>
  </si>
  <si>
    <t>제조원가</t>
    <phoneticPr fontId="3" type="noConversion"/>
  </si>
  <si>
    <t>판매가</t>
    <phoneticPr fontId="3" type="noConversion"/>
  </si>
  <si>
    <t>초기투자비용</t>
    <phoneticPr fontId="3" type="noConversion"/>
  </si>
  <si>
    <t>홍보비용</t>
    <phoneticPr fontId="3" type="noConversion"/>
  </si>
  <si>
    <t>판매량</t>
    <phoneticPr fontId="3" type="noConversion"/>
  </si>
  <si>
    <t>순이익금</t>
    <phoneticPr fontId="3" type="noConversion"/>
  </si>
  <si>
    <t>판매량과 판매가 변동에 따른 순이익금 계산표</t>
    <phoneticPr fontId="3" type="noConversion"/>
  </si>
  <si>
    <t>판 매 량</t>
    <phoneticPr fontId="3" type="noConversion"/>
  </si>
  <si>
    <t>[표1]</t>
    <phoneticPr fontId="3" type="noConversion"/>
  </si>
  <si>
    <t>12월 문구 생산 현황</t>
    <phoneticPr fontId="3" type="noConversion"/>
  </si>
  <si>
    <t xml:space="preserve">품명 </t>
  </si>
  <si>
    <t>수량</t>
  </si>
  <si>
    <t>원가</t>
  </si>
  <si>
    <t>불량률</t>
  </si>
  <si>
    <t>생산비용</t>
    <phoneticPr fontId="3" type="noConversion"/>
  </si>
  <si>
    <t>목표매출액</t>
  </si>
  <si>
    <t>사인펜</t>
    <phoneticPr fontId="3" type="noConversion"/>
  </si>
  <si>
    <t>연필깍기</t>
    <phoneticPr fontId="3" type="noConversion"/>
  </si>
  <si>
    <t>만년필</t>
    <phoneticPr fontId="3" type="noConversion"/>
  </si>
  <si>
    <t>자</t>
    <phoneticPr fontId="3" type="noConversion"/>
  </si>
  <si>
    <t>형광펜</t>
    <phoneticPr fontId="3" type="noConversion"/>
  </si>
  <si>
    <t>볼펜</t>
    <phoneticPr fontId="3" type="noConversion"/>
  </si>
  <si>
    <t>평      균</t>
    <phoneticPr fontId="3" type="noConversion"/>
  </si>
  <si>
    <t>분야별 사설학원 현황</t>
    <phoneticPr fontId="3" type="noConversion"/>
  </si>
  <si>
    <t>(단위: 명)</t>
    <phoneticPr fontId="3" type="noConversion"/>
  </si>
  <si>
    <t>분야</t>
    <phoneticPr fontId="3" type="noConversion"/>
  </si>
  <si>
    <t>학원 수</t>
    <phoneticPr fontId="3" type="noConversion"/>
  </si>
  <si>
    <t>수강자 수</t>
    <phoneticPr fontId="3" type="noConversion"/>
  </si>
  <si>
    <t>강사 수</t>
    <phoneticPr fontId="3" type="noConversion"/>
  </si>
  <si>
    <t>입시학원</t>
    <phoneticPr fontId="3" type="noConversion"/>
  </si>
  <si>
    <t>어학원</t>
    <phoneticPr fontId="3" type="noConversion"/>
  </si>
  <si>
    <t>음악</t>
    <phoneticPr fontId="3" type="noConversion"/>
  </si>
  <si>
    <t>컴퓨터</t>
    <phoneticPr fontId="3" type="noConversion"/>
  </si>
  <si>
    <t>요리</t>
    <phoneticPr fontId="3" type="noConversion"/>
  </si>
  <si>
    <t>운동</t>
    <phoneticPr fontId="3" type="noConversion"/>
  </si>
  <si>
    <t>미술</t>
    <phoneticPr fontId="3" type="noConversion"/>
  </si>
  <si>
    <t>제품코드</t>
    <phoneticPr fontId="1" type="noConversion"/>
  </si>
  <si>
    <t>도서명</t>
    <phoneticPr fontId="1" type="noConversion"/>
  </si>
  <si>
    <t>출판사</t>
    <phoneticPr fontId="1" type="noConversion"/>
  </si>
  <si>
    <t>가격</t>
    <phoneticPr fontId="1" type="noConversion"/>
  </si>
  <si>
    <t>적정 개월수</t>
    <phoneticPr fontId="1" type="noConversion"/>
  </si>
  <si>
    <t>글</t>
    <phoneticPr fontId="1" type="noConversion"/>
  </si>
  <si>
    <t>그림</t>
    <phoneticPr fontId="1" type="noConversion"/>
  </si>
  <si>
    <t>UH-101</t>
    <phoneticPr fontId="1" type="noConversion"/>
  </si>
  <si>
    <t>유치원에 처음 가는 날</t>
    <phoneticPr fontId="1" type="noConversion"/>
  </si>
  <si>
    <t>키다리</t>
    <phoneticPr fontId="1" type="noConversion"/>
  </si>
  <si>
    <t>12개월 이상</t>
    <phoneticPr fontId="1" type="noConversion"/>
  </si>
  <si>
    <t>코린 드레퓌스</t>
    <phoneticPr fontId="1" type="noConversion"/>
  </si>
  <si>
    <t>나탈리 슈</t>
    <phoneticPr fontId="1" type="noConversion"/>
  </si>
  <si>
    <t>BR-203</t>
    <phoneticPr fontId="1" type="noConversion"/>
  </si>
  <si>
    <t>보리의 시끌벅적 유치원</t>
    <phoneticPr fontId="1" type="noConversion"/>
  </si>
  <si>
    <t>뜨인돌어린이</t>
    <phoneticPr fontId="1" type="noConversion"/>
  </si>
  <si>
    <t>24개월 이상</t>
    <phoneticPr fontId="1" type="noConversion"/>
  </si>
  <si>
    <t>김세실</t>
    <phoneticPr fontId="1" type="noConversion"/>
  </si>
  <si>
    <t>양송이</t>
    <phoneticPr fontId="1" type="noConversion"/>
  </si>
  <si>
    <t>UH-224</t>
    <phoneticPr fontId="1" type="noConversion"/>
  </si>
  <si>
    <t>오, 귀여운 우리 아가!</t>
    <phoneticPr fontId="1" type="noConversion"/>
  </si>
  <si>
    <t>중앙출판사</t>
    <phoneticPr fontId="1" type="noConversion"/>
  </si>
  <si>
    <t>12개월 이상</t>
    <phoneticPr fontId="1" type="noConversion"/>
  </si>
  <si>
    <t>캐티 아펠트</t>
    <phoneticPr fontId="1" type="noConversion"/>
  </si>
  <si>
    <t>제인 다이어</t>
    <phoneticPr fontId="1" type="noConversion"/>
  </si>
  <si>
    <t>DB-504</t>
    <phoneticPr fontId="1" type="noConversion"/>
  </si>
  <si>
    <t>뚱보 위고</t>
    <phoneticPr fontId="1" type="noConversion"/>
  </si>
  <si>
    <t>을파소</t>
    <phoneticPr fontId="1" type="noConversion"/>
  </si>
  <si>
    <t>24개월 이상</t>
    <phoneticPr fontId="1" type="noConversion"/>
  </si>
  <si>
    <t>발레리 베샤르 줄리아니</t>
    <phoneticPr fontId="1" type="noConversion"/>
  </si>
  <si>
    <t>클로에 르제</t>
    <phoneticPr fontId="1" type="noConversion"/>
  </si>
  <si>
    <t>CH-401</t>
    <phoneticPr fontId="1" type="noConversion"/>
  </si>
  <si>
    <t>충치 괴물들의 파티</t>
    <phoneticPr fontId="1" type="noConversion"/>
  </si>
  <si>
    <t>아라미</t>
    <phoneticPr fontId="1" type="noConversion"/>
  </si>
  <si>
    <t>라이코</t>
    <phoneticPr fontId="1" type="noConversion"/>
  </si>
  <si>
    <t>에브 타를레</t>
    <phoneticPr fontId="1" type="noConversion"/>
  </si>
  <si>
    <t>LG-876</t>
    <phoneticPr fontId="1" type="noConversion"/>
  </si>
  <si>
    <t>이젠 무서운 꿈을 꾸지 않아요!</t>
    <phoneticPr fontId="1" type="noConversion"/>
  </si>
  <si>
    <t>밝은미래</t>
    <phoneticPr fontId="1" type="noConversion"/>
  </si>
  <si>
    <t>안느 구트망</t>
    <phoneticPr fontId="1" type="noConversion"/>
  </si>
  <si>
    <t>게오르그 할렌스레벤</t>
    <phoneticPr fontId="1" type="noConversion"/>
  </si>
  <si>
    <t>YM-397</t>
    <phoneticPr fontId="1" type="noConversion"/>
  </si>
  <si>
    <t>태어나줘서 고마워</t>
    <phoneticPr fontId="1" type="noConversion"/>
  </si>
  <si>
    <t>아이세움</t>
    <phoneticPr fontId="1" type="noConversion"/>
  </si>
  <si>
    <t>니시모토 요우</t>
    <phoneticPr fontId="1" type="noConversion"/>
  </si>
  <si>
    <t>구로이 켄</t>
    <phoneticPr fontId="1" type="noConversion"/>
  </si>
  <si>
    <t>W*</t>
    <phoneticPr fontId="1" type="noConversion"/>
  </si>
  <si>
    <t>T*</t>
    <phoneticPr fontId="1" type="noConversion"/>
  </si>
  <si>
    <t>S*</t>
    <phoneticPr fontId="1" type="noConversion"/>
  </si>
  <si>
    <t>M*</t>
    <phoneticPr fontId="1" type="noConversion"/>
  </si>
  <si>
    <t>전체 평균 - 서초 평균</t>
    <phoneticPr fontId="3" type="noConversion"/>
  </si>
  <si>
    <t>영어순위</t>
    <phoneticPr fontId="3" type="noConversion"/>
  </si>
  <si>
    <t>김민아</t>
    <phoneticPr fontId="3" type="noConversion"/>
  </si>
  <si>
    <t>송미준</t>
    <phoneticPr fontId="3" type="noConversion"/>
  </si>
  <si>
    <t>성적우수자</t>
    <phoneticPr fontId="3" type="noConversion"/>
  </si>
  <si>
    <r>
      <t>[표5]</t>
    </r>
    <r>
      <rPr>
        <sz val="11"/>
        <color theme="1"/>
        <rFont val="맑은 고딕"/>
        <family val="3"/>
        <charset val="129"/>
        <scheme val="minor"/>
      </rPr>
      <t xml:space="preserve"> 도서 할인목록</t>
    </r>
    <phoneticPr fontId="3" type="noConversion"/>
  </si>
  <si>
    <t>지점</t>
    <phoneticPr fontId="1" type="noConversion"/>
  </si>
  <si>
    <t>노량진</t>
    <phoneticPr fontId="1" type="noConversion"/>
  </si>
  <si>
    <t>종로</t>
    <phoneticPr fontId="1" type="noConversion"/>
  </si>
  <si>
    <t>강남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</si>
</sst>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-&quot;₩&quot;* #,##0_-;\-&quot;₩&quot;* #,##0_-;_-&quot;₩&quot;* &quot;-&quot;_-;_-@_-"/>
    <numFmt numFmtId="41" formatCode="_-* #,##0_-;\-* #,##0_-;_-* &quot;-&quot;_-;_-@_-"/>
    <numFmt numFmtId="176" formatCode="&quot;₩&quot;#,##0"/>
    <numFmt numFmtId="177" formatCode="0.0&quot;%&quot;"/>
  </numFmts>
  <fonts count="12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u/>
      <sz val="17"/>
      <color theme="1"/>
      <name val="궁서"/>
      <family val="1"/>
      <charset val="129"/>
    </font>
    <font>
      <sz val="11"/>
      <color rgb="FF7030A0"/>
      <name val="맑은 고딕"/>
      <family val="2"/>
      <charset val="129"/>
      <scheme val="minor"/>
    </font>
    <font>
      <sz val="11"/>
      <color rgb="FF7030A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2" fontId="2" fillId="0" borderId="0" applyFont="0" applyFill="0" applyBorder="0" applyAlignment="0" applyProtection="0">
      <alignment vertical="center"/>
    </xf>
  </cellStyleXfs>
  <cellXfs count="77">
    <xf numFmtId="0" fontId="0" fillId="0" borderId="0" xfId="0">
      <alignment vertical="center"/>
    </xf>
    <xf numFmtId="0" fontId="0" fillId="0" borderId="0" xfId="0" applyFont="1">
      <alignment vertical="center"/>
    </xf>
    <xf numFmtId="0" fontId="0" fillId="0" borderId="1" xfId="0" applyFont="1" applyBorder="1" applyAlignment="1">
      <alignment horizontal="center" vertical="center"/>
    </xf>
    <xf numFmtId="0" fontId="4" fillId="0" borderId="0" xfId="0" applyFont="1" applyFill="1">
      <alignment vertical="center"/>
    </xf>
    <xf numFmtId="0" fontId="5" fillId="0" borderId="0" xfId="0" applyFont="1" applyFill="1" applyAlignment="1">
      <alignment vertical="center"/>
    </xf>
    <xf numFmtId="0" fontId="6" fillId="0" borderId="0" xfId="0" applyFont="1" applyFill="1" applyAlignment="1">
      <alignment vertical="center"/>
    </xf>
    <xf numFmtId="0" fontId="4" fillId="0" borderId="0" xfId="0" applyFont="1" applyFill="1" applyAlignment="1">
      <alignment vertical="center"/>
    </xf>
    <xf numFmtId="0" fontId="6" fillId="0" borderId="0" xfId="0" applyFont="1" applyFill="1">
      <alignment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/>
    </xf>
    <xf numFmtId="0" fontId="5" fillId="0" borderId="0" xfId="0" applyFont="1" applyFill="1">
      <alignment vertical="center"/>
    </xf>
    <xf numFmtId="41" fontId="4" fillId="0" borderId="1" xfId="0" applyNumberFormat="1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0" fillId="0" borderId="1" xfId="0" applyFont="1" applyBorder="1">
      <alignment vertical="center"/>
    </xf>
    <xf numFmtId="0" fontId="4" fillId="0" borderId="0" xfId="0" applyFont="1">
      <alignment vertical="center"/>
    </xf>
    <xf numFmtId="0" fontId="4" fillId="0" borderId="1" xfId="0" applyFont="1" applyBorder="1">
      <alignment vertical="center"/>
    </xf>
    <xf numFmtId="176" fontId="4" fillId="0" borderId="1" xfId="2" applyNumberFormat="1" applyFont="1" applyBorder="1" applyAlignment="1"/>
    <xf numFmtId="0" fontId="4" fillId="0" borderId="1" xfId="2" applyNumberFormat="1" applyFont="1" applyBorder="1" applyAlignment="1"/>
    <xf numFmtId="176" fontId="5" fillId="0" borderId="1" xfId="2" applyNumberFormat="1" applyFont="1" applyFill="1" applyBorder="1" applyAlignment="1"/>
    <xf numFmtId="0" fontId="4" fillId="0" borderId="0" xfId="0" applyFont="1" applyBorder="1">
      <alignment vertical="center"/>
    </xf>
    <xf numFmtId="42" fontId="5" fillId="0" borderId="0" xfId="2" applyFont="1" applyBorder="1" applyAlignment="1"/>
    <xf numFmtId="42" fontId="5" fillId="0" borderId="0" xfId="2" applyFont="1" applyAlignment="1"/>
    <xf numFmtId="0" fontId="5" fillId="0" borderId="0" xfId="0" applyFont="1" applyAlignment="1">
      <alignment horizontal="center"/>
    </xf>
    <xf numFmtId="176" fontId="4" fillId="0" borderId="8" xfId="0" applyNumberFormat="1" applyFont="1" applyBorder="1">
      <alignment vertical="center"/>
    </xf>
    <xf numFmtId="0" fontId="4" fillId="0" borderId="9" xfId="0" applyFont="1" applyBorder="1">
      <alignment vertical="center"/>
    </xf>
    <xf numFmtId="0" fontId="4" fillId="0" borderId="10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13" xfId="0" applyFont="1" applyBorder="1">
      <alignment vertical="center"/>
    </xf>
    <xf numFmtId="0" fontId="4" fillId="0" borderId="18" xfId="0" applyFont="1" applyBorder="1">
      <alignment vertical="center"/>
    </xf>
    <xf numFmtId="0" fontId="4" fillId="0" borderId="22" xfId="0" applyFont="1" applyBorder="1">
      <alignment vertical="center"/>
    </xf>
    <xf numFmtId="0" fontId="5" fillId="0" borderId="0" xfId="0" applyFont="1" applyFill="1" applyBorder="1" applyAlignment="1">
      <alignment horizontal="left" vertical="center"/>
    </xf>
    <xf numFmtId="0" fontId="5" fillId="0" borderId="0" xfId="0" applyFont="1" applyFill="1" applyBorder="1" applyAlignment="1">
      <alignment vertical="center"/>
    </xf>
    <xf numFmtId="0" fontId="5" fillId="0" borderId="0" xfId="0" applyFont="1">
      <alignment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Fill="1" applyBorder="1" applyAlignment="1">
      <alignment horizontal="left" vertical="center"/>
    </xf>
    <xf numFmtId="41" fontId="5" fillId="0" borderId="1" xfId="1" applyFont="1" applyBorder="1" applyAlignment="1">
      <alignment horizontal="center" vertical="center"/>
    </xf>
    <xf numFmtId="41" fontId="5" fillId="0" borderId="1" xfId="1" applyFont="1" applyBorder="1">
      <alignment vertical="center"/>
    </xf>
    <xf numFmtId="41" fontId="4" fillId="0" borderId="1" xfId="0" applyNumberFormat="1" applyFont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Border="1">
      <alignment vertical="center"/>
    </xf>
    <xf numFmtId="177" fontId="0" fillId="0" borderId="1" xfId="0" applyNumberFormat="1" applyBorder="1" applyAlignment="1">
      <alignment horizontal="center" vertical="center"/>
    </xf>
    <xf numFmtId="41" fontId="5" fillId="0" borderId="1" xfId="1" applyFont="1" applyFill="1" applyBorder="1" applyAlignment="1">
      <alignment horizontal="center"/>
    </xf>
    <xf numFmtId="41" fontId="4" fillId="0" borderId="1" xfId="0" applyNumberFormat="1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Fill="1" applyBorder="1" applyAlignment="1">
      <alignment horizontal="center"/>
    </xf>
    <xf numFmtId="0" fontId="4" fillId="0" borderId="14" xfId="1" applyNumberFormat="1" applyFont="1" applyBorder="1">
      <alignment vertical="center"/>
    </xf>
    <xf numFmtId="0" fontId="4" fillId="0" borderId="15" xfId="1" applyNumberFormat="1" applyFont="1" applyBorder="1">
      <alignment vertical="center"/>
    </xf>
    <xf numFmtId="0" fontId="4" fillId="0" borderId="16" xfId="1" applyNumberFormat="1" applyFont="1" applyBorder="1">
      <alignment vertical="center"/>
    </xf>
    <xf numFmtId="0" fontId="4" fillId="0" borderId="19" xfId="1" applyNumberFormat="1" applyFont="1" applyBorder="1">
      <alignment vertical="center"/>
    </xf>
    <xf numFmtId="0" fontId="4" fillId="0" borderId="1" xfId="1" applyNumberFormat="1" applyFont="1" applyBorder="1">
      <alignment vertical="center"/>
    </xf>
    <xf numFmtId="0" fontId="4" fillId="0" borderId="20" xfId="1" applyNumberFormat="1" applyFont="1" applyBorder="1">
      <alignment vertical="center"/>
    </xf>
    <xf numFmtId="0" fontId="4" fillId="0" borderId="23" xfId="1" applyNumberFormat="1" applyFont="1" applyBorder="1">
      <alignment vertical="center"/>
    </xf>
    <xf numFmtId="0" fontId="4" fillId="0" borderId="24" xfId="1" applyNumberFormat="1" applyFont="1" applyBorder="1">
      <alignment vertical="center"/>
    </xf>
    <xf numFmtId="0" fontId="4" fillId="0" borderId="25" xfId="1" applyNumberFormat="1" applyFont="1" applyBorder="1">
      <alignment vertical="center"/>
    </xf>
    <xf numFmtId="41" fontId="0" fillId="0" borderId="1" xfId="1" applyFont="1" applyBorder="1">
      <alignment vertical="center"/>
    </xf>
    <xf numFmtId="41" fontId="0" fillId="0" borderId="1" xfId="1" applyFont="1" applyFill="1" applyBorder="1">
      <alignment vertical="center"/>
    </xf>
    <xf numFmtId="0" fontId="0" fillId="0" borderId="1" xfId="0" applyFont="1" applyFill="1" applyBorder="1" applyAlignment="1">
      <alignment horizontal="center" vertical="center"/>
    </xf>
    <xf numFmtId="41" fontId="0" fillId="0" borderId="1" xfId="0" applyNumberFormat="1" applyFont="1" applyBorder="1">
      <alignment vertical="center"/>
    </xf>
    <xf numFmtId="0" fontId="7" fillId="0" borderId="0" xfId="0" applyFont="1" applyAlignment="1">
      <alignment horizontal="center" vertical="center"/>
    </xf>
    <xf numFmtId="0" fontId="6" fillId="0" borderId="1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12" xfId="0" applyFont="1" applyBorder="1" applyAlignment="1">
      <alignment horizontal="center" vertical="center" textRotation="255"/>
    </xf>
    <xf numFmtId="0" fontId="4" fillId="0" borderId="17" xfId="0" applyFont="1" applyBorder="1" applyAlignment="1">
      <alignment horizontal="center" vertical="center" textRotation="255"/>
    </xf>
    <xf numFmtId="0" fontId="4" fillId="0" borderId="21" xfId="0" applyFont="1" applyBorder="1" applyAlignment="1">
      <alignment horizontal="center" vertical="center" textRotation="255"/>
    </xf>
    <xf numFmtId="0" fontId="4" fillId="0" borderId="1" xfId="0" applyFont="1" applyFill="1" applyBorder="1" applyAlignment="1">
      <alignment horizontal="center"/>
    </xf>
  </cellXfs>
  <cellStyles count="3">
    <cellStyle name="쉼표 [0]" xfId="1" builtinId="6"/>
    <cellStyle name="통화 [0]" xfId="2" builtinId="7"/>
    <cellStyle name="표준" xfId="0" builtinId="0"/>
  </cellStyles>
  <dxfs count="1">
    <dxf>
      <font>
        <b/>
        <i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궁서체" panose="02030609000101010101" pitchFamily="17" charset="-127"/>
                <a:ea typeface="궁서체" panose="02030609000101010101" pitchFamily="17" charset="-127"/>
                <a:cs typeface="+mn-cs"/>
              </a:defRPr>
            </a:pPr>
            <a:r>
              <a:rPr lang="ko-KR" altLang="en-US" b="1">
                <a:latin typeface="궁서체" panose="02030609000101010101" pitchFamily="17" charset="-127"/>
                <a:ea typeface="궁서체" panose="02030609000101010101" pitchFamily="17" charset="-127"/>
              </a:rPr>
              <a:t>분야별 학원수와 수강자수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궁서체" panose="02030609000101010101" pitchFamily="17" charset="-127"/>
              <a:ea typeface="궁서체" panose="02030609000101010101" pitchFamily="17" charset="-127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차트작업!$B$2</c:f>
              <c:strCache>
                <c:ptCount val="1"/>
                <c:pt idx="0">
                  <c:v>학원 수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차트작업!$A$3:$A$9</c:f>
              <c:strCache>
                <c:ptCount val="7"/>
                <c:pt idx="0">
                  <c:v>입시학원</c:v>
                </c:pt>
                <c:pt idx="1">
                  <c:v>어학원</c:v>
                </c:pt>
                <c:pt idx="2">
                  <c:v>음악</c:v>
                </c:pt>
                <c:pt idx="3">
                  <c:v>컴퓨터</c:v>
                </c:pt>
                <c:pt idx="4">
                  <c:v>요리</c:v>
                </c:pt>
                <c:pt idx="5">
                  <c:v>운동</c:v>
                </c:pt>
                <c:pt idx="6">
                  <c:v>미술</c:v>
                </c:pt>
              </c:strCache>
            </c:strRef>
          </c:cat>
          <c:val>
            <c:numRef>
              <c:f>차트작업!$B$3:$B$9</c:f>
              <c:numCache>
                <c:formatCode>_(* #,##0_);_(* \(#,##0\);_(* "-"_);_(@_)</c:formatCode>
                <c:ptCount val="7"/>
                <c:pt idx="0">
                  <c:v>4270</c:v>
                </c:pt>
                <c:pt idx="1">
                  <c:v>5500</c:v>
                </c:pt>
                <c:pt idx="2">
                  <c:v>1597</c:v>
                </c:pt>
                <c:pt idx="3">
                  <c:v>2984</c:v>
                </c:pt>
                <c:pt idx="4">
                  <c:v>670</c:v>
                </c:pt>
                <c:pt idx="5">
                  <c:v>3890</c:v>
                </c:pt>
                <c:pt idx="6">
                  <c:v>1340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80-4C93-A936-2AC61162FE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2301007"/>
        <c:axId val="292298927"/>
      </c:barChart>
      <c:lineChart>
        <c:grouping val="standard"/>
        <c:varyColors val="0"/>
        <c:ser>
          <c:idx val="1"/>
          <c:order val="1"/>
          <c:tx>
            <c:strRef>
              <c:f>차트작업!$C$2</c:f>
              <c:strCache>
                <c:ptCount val="1"/>
                <c:pt idx="0">
                  <c:v>수강자 수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480-4C93-A936-2AC61162FEA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차트작업!$A$3:$A$9</c:f>
              <c:strCache>
                <c:ptCount val="7"/>
                <c:pt idx="0">
                  <c:v>입시학원</c:v>
                </c:pt>
                <c:pt idx="1">
                  <c:v>어학원</c:v>
                </c:pt>
                <c:pt idx="2">
                  <c:v>음악</c:v>
                </c:pt>
                <c:pt idx="3">
                  <c:v>컴퓨터</c:v>
                </c:pt>
                <c:pt idx="4">
                  <c:v>요리</c:v>
                </c:pt>
                <c:pt idx="5">
                  <c:v>운동</c:v>
                </c:pt>
                <c:pt idx="6">
                  <c:v>미술</c:v>
                </c:pt>
              </c:strCache>
            </c:strRef>
          </c:cat>
          <c:val>
            <c:numRef>
              <c:f>차트작업!$C$3:$C$9</c:f>
              <c:numCache>
                <c:formatCode>_(* #,##0_);_(* \(#,##0\);_(* "-"_);_(@_)</c:formatCode>
                <c:ptCount val="7"/>
                <c:pt idx="0">
                  <c:v>809000</c:v>
                </c:pt>
                <c:pt idx="1">
                  <c:v>1766000</c:v>
                </c:pt>
                <c:pt idx="2">
                  <c:v>526000</c:v>
                </c:pt>
                <c:pt idx="3">
                  <c:v>985000</c:v>
                </c:pt>
                <c:pt idx="4">
                  <c:v>51000</c:v>
                </c:pt>
                <c:pt idx="5">
                  <c:v>672000</c:v>
                </c:pt>
                <c:pt idx="6">
                  <c:v>489000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480-4C93-A936-2AC61162FE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3412559"/>
        <c:axId val="603420463"/>
      </c:lineChart>
      <c:catAx>
        <c:axId val="2923010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92298927"/>
        <c:crosses val="autoZero"/>
        <c:auto val="1"/>
        <c:lblAlgn val="ctr"/>
        <c:lblOffset val="100"/>
        <c:noMultiLvlLbl val="0"/>
      </c:catAx>
      <c:valAx>
        <c:axId val="292298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92301007"/>
        <c:crosses val="autoZero"/>
        <c:crossBetween val="between"/>
      </c:valAx>
      <c:valAx>
        <c:axId val="603420463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03412559"/>
        <c:crosses val="max"/>
        <c:crossBetween val="between"/>
      </c:valAx>
      <c:catAx>
        <c:axId val="60341255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0342046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3</xdr:row>
      <xdr:rowOff>0</xdr:rowOff>
    </xdr:from>
    <xdr:to>
      <xdr:col>7</xdr:col>
      <xdr:colOff>0</xdr:colOff>
      <xdr:row>5</xdr:row>
      <xdr:rowOff>0</xdr:rowOff>
    </xdr:to>
    <xdr:sp macro="[0]!평균" textlink="">
      <xdr:nvSpPr>
        <xdr:cNvPr id="2" name="빗면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4419600" y="647700"/>
          <a:ext cx="660400" cy="4318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평균</a:t>
          </a:r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8</xdr:row>
      <xdr:rowOff>0</xdr:rowOff>
    </xdr:to>
    <xdr:sp macro="[0]!서식" textlink="">
      <xdr:nvSpPr>
        <xdr:cNvPr id="3" name="모서리가 둥근 직사각형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419600" y="1295400"/>
          <a:ext cx="660400" cy="431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9</xdr:col>
      <xdr:colOff>0</xdr:colOff>
      <xdr:row>28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10"/>
  <sheetViews>
    <sheetView tabSelected="1" workbookViewId="0"/>
  </sheetViews>
  <sheetFormatPr defaultRowHeight="17"/>
  <cols>
    <col min="2" max="2" width="28.83203125" customWidth="1"/>
    <col min="3" max="3" width="13" customWidth="1"/>
    <col min="5" max="5" width="11.25" bestFit="1" customWidth="1"/>
    <col min="6" max="6" width="21.6640625" bestFit="1" customWidth="1"/>
    <col min="7" max="7" width="19" bestFit="1" customWidth="1"/>
  </cols>
  <sheetData>
    <row r="1" spans="1:7">
      <c r="A1" t="s">
        <v>0</v>
      </c>
    </row>
    <row r="3" spans="1:7">
      <c r="A3" t="s">
        <v>157</v>
      </c>
      <c r="B3" t="s">
        <v>158</v>
      </c>
      <c r="C3" t="s">
        <v>159</v>
      </c>
      <c r="D3" t="s">
        <v>160</v>
      </c>
      <c r="E3" t="s">
        <v>161</v>
      </c>
      <c r="F3" t="s">
        <v>162</v>
      </c>
      <c r="G3" t="s">
        <v>163</v>
      </c>
    </row>
    <row r="4" spans="1:7">
      <c r="A4" t="s">
        <v>164</v>
      </c>
      <c r="B4" t="s">
        <v>165</v>
      </c>
      <c r="C4" t="s">
        <v>166</v>
      </c>
      <c r="D4">
        <v>8500</v>
      </c>
      <c r="E4" t="s">
        <v>167</v>
      </c>
      <c r="F4" t="s">
        <v>168</v>
      </c>
      <c r="G4" t="s">
        <v>169</v>
      </c>
    </row>
    <row r="5" spans="1:7">
      <c r="A5" t="s">
        <v>170</v>
      </c>
      <c r="B5" t="s">
        <v>171</v>
      </c>
      <c r="C5" t="s">
        <v>172</v>
      </c>
      <c r="D5">
        <v>9500</v>
      </c>
      <c r="E5" t="s">
        <v>173</v>
      </c>
      <c r="F5" t="s">
        <v>174</v>
      </c>
      <c r="G5" t="s">
        <v>175</v>
      </c>
    </row>
    <row r="6" spans="1:7">
      <c r="A6" t="s">
        <v>176</v>
      </c>
      <c r="B6" t="s">
        <v>177</v>
      </c>
      <c r="C6" t="s">
        <v>178</v>
      </c>
      <c r="D6">
        <v>9000</v>
      </c>
      <c r="E6" t="s">
        <v>179</v>
      </c>
      <c r="F6" t="s">
        <v>180</v>
      </c>
      <c r="G6" t="s">
        <v>181</v>
      </c>
    </row>
    <row r="7" spans="1:7">
      <c r="A7" t="s">
        <v>182</v>
      </c>
      <c r="B7" t="s">
        <v>183</v>
      </c>
      <c r="C7" t="s">
        <v>184</v>
      </c>
      <c r="D7">
        <v>10000</v>
      </c>
      <c r="E7" t="s">
        <v>185</v>
      </c>
      <c r="F7" t="s">
        <v>186</v>
      </c>
      <c r="G7" t="s">
        <v>187</v>
      </c>
    </row>
    <row r="8" spans="1:7">
      <c r="A8" t="s">
        <v>188</v>
      </c>
      <c r="B8" t="s">
        <v>189</v>
      </c>
      <c r="C8" t="s">
        <v>190</v>
      </c>
      <c r="D8">
        <v>9500</v>
      </c>
      <c r="E8" t="s">
        <v>179</v>
      </c>
      <c r="F8" t="s">
        <v>191</v>
      </c>
      <c r="G8" t="s">
        <v>192</v>
      </c>
    </row>
    <row r="9" spans="1:7">
      <c r="A9" t="s">
        <v>193</v>
      </c>
      <c r="B9" t="s">
        <v>194</v>
      </c>
      <c r="C9" t="s">
        <v>195</v>
      </c>
      <c r="D9">
        <v>10000</v>
      </c>
      <c r="E9" t="s">
        <v>179</v>
      </c>
      <c r="F9" t="s">
        <v>196</v>
      </c>
      <c r="G9" t="s">
        <v>197</v>
      </c>
    </row>
    <row r="10" spans="1:7">
      <c r="A10" t="s">
        <v>198</v>
      </c>
      <c r="B10" t="s">
        <v>199</v>
      </c>
      <c r="C10" t="s">
        <v>200</v>
      </c>
      <c r="D10">
        <v>9500</v>
      </c>
      <c r="E10" t="s">
        <v>167</v>
      </c>
      <c r="F10" t="s">
        <v>201</v>
      </c>
      <c r="G10" t="s">
        <v>202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G10"/>
  <sheetViews>
    <sheetView workbookViewId="0">
      <selection sqref="A1:G1"/>
    </sheetView>
  </sheetViews>
  <sheetFormatPr defaultRowHeight="17"/>
  <cols>
    <col min="1" max="1" width="25" bestFit="1" customWidth="1"/>
    <col min="3" max="3" width="10.75" bestFit="1" customWidth="1"/>
  </cols>
  <sheetData>
    <row r="1" spans="1:7" ht="22">
      <c r="A1" s="65" t="s">
        <v>1</v>
      </c>
      <c r="B1" s="65"/>
      <c r="C1" s="65"/>
      <c r="D1" s="65"/>
      <c r="E1" s="65"/>
      <c r="F1" s="65"/>
      <c r="G1" s="65"/>
    </row>
    <row r="3" spans="1:7" ht="34">
      <c r="A3" s="39" t="s">
        <v>2</v>
      </c>
      <c r="B3" s="40" t="s">
        <v>3</v>
      </c>
      <c r="C3" s="40" t="s">
        <v>4</v>
      </c>
      <c r="D3" s="40" t="s">
        <v>5</v>
      </c>
      <c r="E3" s="40" t="s">
        <v>6</v>
      </c>
      <c r="F3" s="41" t="s">
        <v>7</v>
      </c>
      <c r="G3" s="41" t="s">
        <v>8</v>
      </c>
    </row>
    <row r="4" spans="1:7">
      <c r="A4" s="42" t="s">
        <v>9</v>
      </c>
      <c r="B4" s="42" t="s">
        <v>10</v>
      </c>
      <c r="C4" s="43">
        <v>38633</v>
      </c>
      <c r="D4" s="44">
        <v>5754</v>
      </c>
      <c r="E4" s="44">
        <v>10000</v>
      </c>
      <c r="F4" s="45">
        <v>80</v>
      </c>
      <c r="G4" s="42" t="s">
        <v>11</v>
      </c>
    </row>
    <row r="5" spans="1:7">
      <c r="A5" s="42" t="s">
        <v>12</v>
      </c>
      <c r="B5" s="42" t="s">
        <v>13</v>
      </c>
      <c r="C5" s="43">
        <v>39298</v>
      </c>
      <c r="D5" s="44">
        <v>3120</v>
      </c>
      <c r="E5" s="44">
        <v>0</v>
      </c>
      <c r="F5" s="45">
        <v>50.6</v>
      </c>
      <c r="G5" s="42" t="s">
        <v>14</v>
      </c>
    </row>
    <row r="6" spans="1:7">
      <c r="A6" s="42" t="s">
        <v>15</v>
      </c>
      <c r="B6" s="42" t="s">
        <v>16</v>
      </c>
      <c r="C6" s="43">
        <v>39064</v>
      </c>
      <c r="D6" s="44">
        <v>4515</v>
      </c>
      <c r="E6" s="44">
        <v>5000</v>
      </c>
      <c r="F6" s="45">
        <v>48.5</v>
      </c>
      <c r="G6" s="42" t="s">
        <v>17</v>
      </c>
    </row>
    <row r="7" spans="1:7">
      <c r="A7" s="42" t="s">
        <v>18</v>
      </c>
      <c r="B7" s="42" t="s">
        <v>19</v>
      </c>
      <c r="C7" s="43">
        <v>39556</v>
      </c>
      <c r="D7" s="44">
        <v>7349</v>
      </c>
      <c r="E7" s="44">
        <v>30000</v>
      </c>
      <c r="F7" s="45">
        <v>86.4</v>
      </c>
      <c r="G7" s="42" t="s">
        <v>20</v>
      </c>
    </row>
    <row r="8" spans="1:7">
      <c r="A8" s="42" t="s">
        <v>21</v>
      </c>
      <c r="B8" s="42" t="s">
        <v>22</v>
      </c>
      <c r="C8" s="43">
        <v>40094</v>
      </c>
      <c r="D8" s="44">
        <v>1250</v>
      </c>
      <c r="E8" s="44">
        <v>8000</v>
      </c>
      <c r="F8" s="45">
        <v>39.200000000000003</v>
      </c>
      <c r="G8" s="42" t="s">
        <v>23</v>
      </c>
    </row>
    <row r="9" spans="1:7">
      <c r="A9" s="42" t="s">
        <v>24</v>
      </c>
      <c r="B9" s="42" t="s">
        <v>25</v>
      </c>
      <c r="C9" s="43">
        <v>38142</v>
      </c>
      <c r="D9" s="44">
        <v>850</v>
      </c>
      <c r="E9" s="44">
        <v>10000</v>
      </c>
      <c r="F9" s="45">
        <v>77.2</v>
      </c>
      <c r="G9" s="42" t="s">
        <v>26</v>
      </c>
    </row>
    <row r="10" spans="1:7">
      <c r="A10" s="42" t="s">
        <v>27</v>
      </c>
      <c r="B10" s="42" t="s">
        <v>28</v>
      </c>
      <c r="C10" s="43">
        <v>40245</v>
      </c>
      <c r="D10" s="44">
        <v>697</v>
      </c>
      <c r="E10" s="44">
        <v>3000</v>
      </c>
      <c r="F10" s="45">
        <v>65.099999999999994</v>
      </c>
      <c r="G10" s="42" t="s">
        <v>29</v>
      </c>
    </row>
  </sheetData>
  <mergeCells count="1">
    <mergeCell ref="A1:G1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H13"/>
  <sheetViews>
    <sheetView workbookViewId="0"/>
  </sheetViews>
  <sheetFormatPr defaultRowHeight="17"/>
  <sheetData>
    <row r="2" spans="2:8">
      <c r="B2" s="1" t="s">
        <v>30</v>
      </c>
      <c r="C2" s="1"/>
      <c r="D2" s="1"/>
      <c r="E2" s="1"/>
      <c r="F2" s="1"/>
      <c r="G2" s="1"/>
      <c r="H2" s="1"/>
    </row>
    <row r="3" spans="2:8">
      <c r="B3" s="1"/>
      <c r="C3" s="1"/>
      <c r="D3" s="1"/>
      <c r="E3" s="1"/>
      <c r="F3" s="1"/>
      <c r="G3" s="1"/>
      <c r="H3" s="1"/>
    </row>
    <row r="4" spans="2:8">
      <c r="B4" s="2" t="s">
        <v>31</v>
      </c>
      <c r="C4" s="2" t="s">
        <v>32</v>
      </c>
      <c r="D4" s="2" t="s">
        <v>33</v>
      </c>
      <c r="E4" s="2" t="s">
        <v>34</v>
      </c>
      <c r="F4" s="2" t="s">
        <v>35</v>
      </c>
      <c r="G4" s="2" t="s">
        <v>36</v>
      </c>
      <c r="H4" s="2" t="s">
        <v>37</v>
      </c>
    </row>
    <row r="5" spans="2:8">
      <c r="B5" s="2" t="s">
        <v>38</v>
      </c>
      <c r="C5" s="2" t="s">
        <v>39</v>
      </c>
      <c r="D5" s="2" t="s">
        <v>40</v>
      </c>
      <c r="E5" s="2">
        <v>90</v>
      </c>
      <c r="F5" s="2">
        <v>85</v>
      </c>
      <c r="G5" s="2">
        <v>82</v>
      </c>
      <c r="H5" s="2">
        <f t="shared" ref="H5:H13" si="0">SUM(E5:G5)</f>
        <v>257</v>
      </c>
    </row>
    <row r="6" spans="2:8">
      <c r="B6" s="2" t="s">
        <v>41</v>
      </c>
      <c r="C6" s="2" t="s">
        <v>42</v>
      </c>
      <c r="D6" s="2" t="s">
        <v>43</v>
      </c>
      <c r="E6" s="2">
        <v>97</v>
      </c>
      <c r="F6" s="2">
        <v>89</v>
      </c>
      <c r="G6" s="2">
        <v>93</v>
      </c>
      <c r="H6" s="2">
        <f t="shared" si="0"/>
        <v>279</v>
      </c>
    </row>
    <row r="7" spans="2:8">
      <c r="B7" s="2" t="s">
        <v>44</v>
      </c>
      <c r="C7" s="2" t="s">
        <v>45</v>
      </c>
      <c r="D7" s="2" t="s">
        <v>46</v>
      </c>
      <c r="E7" s="2">
        <v>90</v>
      </c>
      <c r="F7" s="2">
        <v>77</v>
      </c>
      <c r="G7" s="2">
        <v>87</v>
      </c>
      <c r="H7" s="2">
        <f t="shared" si="0"/>
        <v>254</v>
      </c>
    </row>
    <row r="8" spans="2:8">
      <c r="B8" s="2" t="s">
        <v>47</v>
      </c>
      <c r="C8" s="2" t="s">
        <v>48</v>
      </c>
      <c r="D8" s="2" t="s">
        <v>40</v>
      </c>
      <c r="E8" s="2">
        <v>73</v>
      </c>
      <c r="F8" s="2">
        <v>64</v>
      </c>
      <c r="G8" s="2">
        <v>82</v>
      </c>
      <c r="H8" s="2">
        <f t="shared" si="0"/>
        <v>219</v>
      </c>
    </row>
    <row r="9" spans="2:8">
      <c r="B9" s="2" t="s">
        <v>49</v>
      </c>
      <c r="C9" s="2" t="s">
        <v>50</v>
      </c>
      <c r="D9" s="2" t="s">
        <v>46</v>
      </c>
      <c r="E9" s="2">
        <v>82</v>
      </c>
      <c r="F9" s="2">
        <v>91</v>
      </c>
      <c r="G9" s="2">
        <v>85</v>
      </c>
      <c r="H9" s="2">
        <f t="shared" si="0"/>
        <v>258</v>
      </c>
    </row>
    <row r="10" spans="2:8">
      <c r="B10" s="2" t="s">
        <v>51</v>
      </c>
      <c r="C10" s="2" t="s">
        <v>52</v>
      </c>
      <c r="D10" s="2" t="s">
        <v>40</v>
      </c>
      <c r="E10" s="2">
        <v>75</v>
      </c>
      <c r="F10" s="2">
        <v>86</v>
      </c>
      <c r="G10" s="2">
        <v>90</v>
      </c>
      <c r="H10" s="2">
        <f t="shared" si="0"/>
        <v>251</v>
      </c>
    </row>
    <row r="11" spans="2:8">
      <c r="B11" s="2" t="s">
        <v>53</v>
      </c>
      <c r="C11" s="2" t="s">
        <v>54</v>
      </c>
      <c r="D11" s="2" t="s">
        <v>43</v>
      </c>
      <c r="E11" s="2">
        <v>93</v>
      </c>
      <c r="F11" s="2">
        <v>85</v>
      </c>
      <c r="G11" s="2">
        <v>88</v>
      </c>
      <c r="H11" s="2">
        <f t="shared" si="0"/>
        <v>266</v>
      </c>
    </row>
    <row r="12" spans="2:8">
      <c r="B12" s="2" t="s">
        <v>55</v>
      </c>
      <c r="C12" s="2" t="s">
        <v>56</v>
      </c>
      <c r="D12" s="2" t="s">
        <v>46</v>
      </c>
      <c r="E12" s="2">
        <v>84</v>
      </c>
      <c r="F12" s="2">
        <v>74</v>
      </c>
      <c r="G12" s="2">
        <v>63</v>
      </c>
      <c r="H12" s="2">
        <f t="shared" si="0"/>
        <v>221</v>
      </c>
    </row>
    <row r="13" spans="2:8">
      <c r="B13" s="2" t="s">
        <v>57</v>
      </c>
      <c r="C13" s="2" t="s">
        <v>58</v>
      </c>
      <c r="D13" s="2" t="s">
        <v>43</v>
      </c>
      <c r="E13" s="2">
        <v>77</v>
      </c>
      <c r="F13" s="2">
        <v>90</v>
      </c>
      <c r="G13" s="2">
        <v>68</v>
      </c>
      <c r="H13" s="2">
        <f t="shared" si="0"/>
        <v>235</v>
      </c>
    </row>
  </sheetData>
  <phoneticPr fontId="1" type="noConversion"/>
  <conditionalFormatting sqref="B5:H13">
    <cfRule type="expression" dxfId="0" priority="1">
      <formula>OR($D5="경영학과",$H5&gt;=260)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EE743-5698-4FF9-A1E1-3B6021FF3D5F}">
  <dimension ref="A1:I20"/>
  <sheetViews>
    <sheetView workbookViewId="0"/>
  </sheetViews>
  <sheetFormatPr defaultRowHeight="17"/>
  <cols>
    <col min="4" max="4" width="12" bestFit="1" customWidth="1"/>
    <col min="5" max="5" width="8.5" bestFit="1" customWidth="1"/>
    <col min="6" max="6" width="9.33203125" customWidth="1"/>
    <col min="8" max="8" width="2.58203125" customWidth="1"/>
    <col min="9" max="9" width="19.9140625" bestFit="1" customWidth="1"/>
  </cols>
  <sheetData>
    <row r="1" spans="1:9">
      <c r="A1" s="10" t="s">
        <v>59</v>
      </c>
      <c r="B1" s="7" t="s">
        <v>85</v>
      </c>
      <c r="C1" s="10"/>
      <c r="D1" s="10"/>
      <c r="E1" s="3"/>
      <c r="F1" s="3"/>
      <c r="G1" s="3"/>
      <c r="H1" s="3"/>
    </row>
    <row r="2" spans="1:9">
      <c r="A2" s="12" t="s">
        <v>60</v>
      </c>
      <c r="B2" s="51" t="s">
        <v>62</v>
      </c>
      <c r="C2" s="12" t="s">
        <v>86</v>
      </c>
      <c r="D2" s="12" t="s">
        <v>61</v>
      </c>
      <c r="E2" s="8" t="s">
        <v>87</v>
      </c>
      <c r="F2" s="13" t="s">
        <v>208</v>
      </c>
      <c r="G2" s="13" t="s">
        <v>88</v>
      </c>
      <c r="H2" s="3"/>
      <c r="I2" s="3" t="s">
        <v>106</v>
      </c>
    </row>
    <row r="3" spans="1:9">
      <c r="A3" s="12" t="s">
        <v>89</v>
      </c>
      <c r="B3" s="51" t="s">
        <v>63</v>
      </c>
      <c r="C3" s="12">
        <v>80</v>
      </c>
      <c r="D3" s="12">
        <v>65</v>
      </c>
      <c r="E3" s="8">
        <v>75</v>
      </c>
      <c r="F3" s="8" t="str">
        <f>IFERROR(CHOOSE(_xlfn.RANK.EQ(D3,$D$3:$D$10),"1등","2등","3등"),"")</f>
        <v/>
      </c>
      <c r="G3" s="34" t="str">
        <f>IF(AND(E3&gt;=70,SUM(C3:D3)&gt;=120),"합격","")</f>
        <v>합격</v>
      </c>
      <c r="H3" s="3"/>
      <c r="I3" s="49" t="s">
        <v>211</v>
      </c>
    </row>
    <row r="4" spans="1:9">
      <c r="A4" s="12" t="s">
        <v>90</v>
      </c>
      <c r="B4" s="51" t="s">
        <v>64</v>
      </c>
      <c r="C4" s="12">
        <v>60</v>
      </c>
      <c r="D4" s="12">
        <v>50</v>
      </c>
      <c r="E4" s="8">
        <v>90</v>
      </c>
      <c r="F4" s="8" t="str">
        <f t="shared" ref="F4:F10" si="0">IFERROR(CHOOSE(_xlfn.RANK.EQ(D4,$D$3:$D$10),"1등","2등","3등"),"")</f>
        <v/>
      </c>
      <c r="G4" s="34" t="str">
        <f t="shared" ref="G4:G8" si="1">IF(AND(E4&gt;=70,SUM(C4:D4)&gt;=120),"합격","")</f>
        <v/>
      </c>
      <c r="H4" s="3"/>
      <c r="I4" s="8">
        <f>COUNTIFS(C3:C10,"&gt;="&amp;LARGE(C3:C10,5),D3:D10,"&gt;="&amp;LARGE(D3:D10,5))</f>
        <v>4</v>
      </c>
    </row>
    <row r="5" spans="1:9">
      <c r="A5" s="12" t="s">
        <v>91</v>
      </c>
      <c r="B5" s="51" t="s">
        <v>63</v>
      </c>
      <c r="C5" s="12">
        <v>60</v>
      </c>
      <c r="D5" s="12">
        <v>70</v>
      </c>
      <c r="E5" s="8">
        <v>75</v>
      </c>
      <c r="F5" s="8" t="str">
        <f t="shared" si="0"/>
        <v/>
      </c>
      <c r="G5" s="34" t="str">
        <f t="shared" si="1"/>
        <v>합격</v>
      </c>
      <c r="H5" s="3"/>
    </row>
    <row r="6" spans="1:9">
      <c r="A6" s="12" t="s">
        <v>92</v>
      </c>
      <c r="B6" s="51" t="s">
        <v>64</v>
      </c>
      <c r="C6" s="12">
        <v>50</v>
      </c>
      <c r="D6" s="12">
        <v>79</v>
      </c>
      <c r="E6" s="8">
        <v>80</v>
      </c>
      <c r="F6" s="8" t="str">
        <f t="shared" si="0"/>
        <v>2등</v>
      </c>
      <c r="G6" s="34" t="str">
        <f t="shared" si="1"/>
        <v>합격</v>
      </c>
      <c r="H6" s="3"/>
      <c r="I6" t="s">
        <v>65</v>
      </c>
    </row>
    <row r="7" spans="1:9">
      <c r="A7" s="12" t="s">
        <v>93</v>
      </c>
      <c r="B7" s="51" t="s">
        <v>63</v>
      </c>
      <c r="C7" s="12">
        <v>40</v>
      </c>
      <c r="D7" s="12">
        <v>50</v>
      </c>
      <c r="E7" s="8">
        <v>65</v>
      </c>
      <c r="F7" s="8" t="str">
        <f t="shared" si="0"/>
        <v/>
      </c>
      <c r="G7" s="34" t="str">
        <f t="shared" si="1"/>
        <v/>
      </c>
      <c r="H7" s="3"/>
      <c r="I7" s="49" t="s">
        <v>207</v>
      </c>
    </row>
    <row r="8" spans="1:9">
      <c r="A8" s="12" t="s">
        <v>94</v>
      </c>
      <c r="B8" s="51" t="s">
        <v>64</v>
      </c>
      <c r="C8" s="12">
        <v>70</v>
      </c>
      <c r="D8" s="12">
        <v>60</v>
      </c>
      <c r="E8" s="8">
        <v>95</v>
      </c>
      <c r="F8" s="8" t="str">
        <f t="shared" si="0"/>
        <v/>
      </c>
      <c r="G8" s="34" t="str">
        <f t="shared" si="1"/>
        <v>합격</v>
      </c>
      <c r="H8" s="3"/>
      <c r="I8" s="50">
        <f>ABS(AVERAGE(E3:E10)-DAVERAGE(A2:E10,E2,B2:B3))</f>
        <v>3.125</v>
      </c>
    </row>
    <row r="9" spans="1:9">
      <c r="A9" s="8" t="s">
        <v>209</v>
      </c>
      <c r="B9" s="8" t="s">
        <v>63</v>
      </c>
      <c r="C9" s="8">
        <v>75</v>
      </c>
      <c r="D9" s="8">
        <v>85</v>
      </c>
      <c r="E9" s="8">
        <v>85</v>
      </c>
      <c r="F9" s="8" t="str">
        <f t="shared" si="0"/>
        <v>1등</v>
      </c>
      <c r="G9" s="34" t="str">
        <f t="shared" ref="G9:G10" si="2">IF(AND(E9&gt;=70,SUM(C9:D9)&gt;=120),"합격","")</f>
        <v>합격</v>
      </c>
      <c r="H9" s="3"/>
    </row>
    <row r="10" spans="1:9">
      <c r="A10" s="8" t="s">
        <v>210</v>
      </c>
      <c r="B10" s="8" t="s">
        <v>64</v>
      </c>
      <c r="C10" s="8">
        <v>85</v>
      </c>
      <c r="D10" s="8">
        <v>75</v>
      </c>
      <c r="E10" s="8">
        <v>60</v>
      </c>
      <c r="F10" s="8" t="str">
        <f t="shared" si="0"/>
        <v>3등</v>
      </c>
      <c r="G10" s="34" t="str">
        <f t="shared" si="2"/>
        <v/>
      </c>
      <c r="H10" s="3"/>
    </row>
    <row r="11" spans="1:9">
      <c r="A11" s="3"/>
      <c r="B11" s="3"/>
      <c r="C11" s="3"/>
      <c r="D11" s="3"/>
      <c r="E11" s="3"/>
      <c r="F11" s="3"/>
      <c r="G11" s="3"/>
      <c r="H11" s="3"/>
    </row>
    <row r="12" spans="1:9">
      <c r="A12" s="4" t="s">
        <v>107</v>
      </c>
      <c r="B12" s="5" t="s">
        <v>66</v>
      </c>
      <c r="C12" s="6"/>
      <c r="D12" s="6"/>
      <c r="E12" s="6"/>
      <c r="F12" s="3"/>
      <c r="G12" s="3"/>
    </row>
    <row r="13" spans="1:9">
      <c r="A13" s="8" t="s">
        <v>67</v>
      </c>
      <c r="B13" s="8" t="s">
        <v>68</v>
      </c>
      <c r="C13" s="8" t="s">
        <v>69</v>
      </c>
      <c r="D13" s="49" t="s">
        <v>70</v>
      </c>
      <c r="E13" s="3"/>
      <c r="F13" s="4" t="s">
        <v>212</v>
      </c>
      <c r="G13" s="5"/>
    </row>
    <row r="14" spans="1:9">
      <c r="A14" s="8" t="s">
        <v>71</v>
      </c>
      <c r="B14" s="8" t="s">
        <v>72</v>
      </c>
      <c r="C14" s="8">
        <v>68</v>
      </c>
      <c r="D14" s="38">
        <f>IFERROR(C14*VLOOKUP(B14,$F$15:$G$18,2,0),"판매량오류")</f>
        <v>1224000</v>
      </c>
      <c r="E14" s="3"/>
      <c r="F14" s="8" t="s">
        <v>68</v>
      </c>
      <c r="G14" s="8" t="s">
        <v>73</v>
      </c>
    </row>
    <row r="15" spans="1:9">
      <c r="A15" s="8" t="s">
        <v>74</v>
      </c>
      <c r="B15" s="8" t="s">
        <v>75</v>
      </c>
      <c r="C15" s="8" t="s">
        <v>76</v>
      </c>
      <c r="D15" s="38" t="str">
        <f t="shared" ref="D15:D20" si="3">IFERROR(C15*VLOOKUP(B15,$F$15:$G$18,2,0),"판매량오류")</f>
        <v>판매량오류</v>
      </c>
      <c r="E15" s="3"/>
      <c r="F15" s="8" t="s">
        <v>75</v>
      </c>
      <c r="G15" s="11">
        <v>15000</v>
      </c>
    </row>
    <row r="16" spans="1:9">
      <c r="A16" s="8" t="s">
        <v>77</v>
      </c>
      <c r="B16" s="8" t="s">
        <v>78</v>
      </c>
      <c r="C16" s="8">
        <v>70</v>
      </c>
      <c r="D16" s="38">
        <f t="shared" si="3"/>
        <v>1190000</v>
      </c>
      <c r="E16" s="3"/>
      <c r="F16" s="8" t="s">
        <v>79</v>
      </c>
      <c r="G16" s="11">
        <v>14000</v>
      </c>
    </row>
    <row r="17" spans="1:7">
      <c r="A17" s="8" t="s">
        <v>80</v>
      </c>
      <c r="B17" s="8" t="s">
        <v>72</v>
      </c>
      <c r="C17" s="8">
        <v>95</v>
      </c>
      <c r="D17" s="38">
        <f t="shared" si="3"/>
        <v>1710000</v>
      </c>
      <c r="E17" s="3"/>
      <c r="F17" s="8" t="s">
        <v>72</v>
      </c>
      <c r="G17" s="11">
        <v>18000</v>
      </c>
    </row>
    <row r="18" spans="1:7">
      <c r="A18" s="8" t="s">
        <v>81</v>
      </c>
      <c r="B18" s="8" t="s">
        <v>75</v>
      </c>
      <c r="C18" s="8" t="s">
        <v>82</v>
      </c>
      <c r="D18" s="38" t="str">
        <f t="shared" si="3"/>
        <v>판매량오류</v>
      </c>
      <c r="E18" s="3"/>
      <c r="F18" s="8" t="s">
        <v>78</v>
      </c>
      <c r="G18" s="11">
        <v>17000</v>
      </c>
    </row>
    <row r="19" spans="1:7">
      <c r="A19" s="8" t="s">
        <v>83</v>
      </c>
      <c r="B19" s="8" t="s">
        <v>79</v>
      </c>
      <c r="C19" s="8">
        <v>39</v>
      </c>
      <c r="D19" s="38">
        <f t="shared" si="3"/>
        <v>546000</v>
      </c>
      <c r="E19" s="3"/>
      <c r="F19" s="3"/>
      <c r="G19" s="3"/>
    </row>
    <row r="20" spans="1:7">
      <c r="A20" s="8" t="s">
        <v>84</v>
      </c>
      <c r="B20" s="8" t="s">
        <v>79</v>
      </c>
      <c r="C20" s="8">
        <v>50</v>
      </c>
      <c r="D20" s="38">
        <f t="shared" si="3"/>
        <v>700000</v>
      </c>
      <c r="E20" s="3"/>
      <c r="F20" s="3"/>
      <c r="G20" s="3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J23"/>
  <sheetViews>
    <sheetView workbookViewId="0"/>
  </sheetViews>
  <sheetFormatPr defaultRowHeight="17"/>
  <cols>
    <col min="6" max="6" width="2.58203125" customWidth="1"/>
  </cols>
  <sheetData>
    <row r="1" spans="1:10">
      <c r="A1" s="1" t="s">
        <v>95</v>
      </c>
      <c r="C1" s="1"/>
      <c r="D1" s="1"/>
      <c r="E1" s="1"/>
      <c r="F1" s="1"/>
      <c r="G1" s="1" t="s">
        <v>106</v>
      </c>
      <c r="H1" s="1" t="s">
        <v>108</v>
      </c>
      <c r="I1" s="1"/>
      <c r="J1" s="1"/>
    </row>
    <row r="2" spans="1:10">
      <c r="A2" s="50" t="s">
        <v>213</v>
      </c>
      <c r="B2" s="2" t="s">
        <v>96</v>
      </c>
      <c r="C2" s="2" t="s">
        <v>97</v>
      </c>
      <c r="D2" s="2" t="s">
        <v>98</v>
      </c>
      <c r="E2" s="2" t="s">
        <v>99</v>
      </c>
      <c r="F2" s="1"/>
      <c r="G2" s="2" t="s">
        <v>111</v>
      </c>
      <c r="H2" s="2" t="s">
        <v>112</v>
      </c>
      <c r="I2" s="2" t="s">
        <v>109</v>
      </c>
      <c r="J2" s="2" t="s">
        <v>110</v>
      </c>
    </row>
    <row r="3" spans="1:10">
      <c r="A3" s="50" t="s">
        <v>214</v>
      </c>
      <c r="B3" s="2" t="s">
        <v>100</v>
      </c>
      <c r="C3" s="61">
        <v>1000</v>
      </c>
      <c r="D3" s="61">
        <v>800</v>
      </c>
      <c r="E3" s="61">
        <f t="shared" ref="E3:E8" si="0">C3-D3</f>
        <v>200</v>
      </c>
      <c r="F3" s="1"/>
      <c r="G3" s="14" t="s">
        <v>203</v>
      </c>
      <c r="H3" s="64">
        <v>4600</v>
      </c>
      <c r="I3" s="64">
        <v>2630</v>
      </c>
      <c r="J3" s="64">
        <v>1970</v>
      </c>
    </row>
    <row r="4" spans="1:10">
      <c r="A4" s="50" t="s">
        <v>214</v>
      </c>
      <c r="B4" s="2" t="s">
        <v>101</v>
      </c>
      <c r="C4" s="61">
        <v>1000</v>
      </c>
      <c r="D4" s="61">
        <v>740</v>
      </c>
      <c r="E4" s="61">
        <f t="shared" si="0"/>
        <v>260</v>
      </c>
      <c r="F4" s="1"/>
      <c r="G4" s="14" t="s">
        <v>204</v>
      </c>
      <c r="H4" s="64">
        <v>7500</v>
      </c>
      <c r="I4" s="64">
        <v>3540</v>
      </c>
      <c r="J4" s="64">
        <v>3960</v>
      </c>
    </row>
    <row r="5" spans="1:10">
      <c r="A5" s="50" t="s">
        <v>214</v>
      </c>
      <c r="B5" s="2" t="s">
        <v>102</v>
      </c>
      <c r="C5" s="61">
        <v>1000</v>
      </c>
      <c r="D5" s="61">
        <v>640</v>
      </c>
      <c r="E5" s="61">
        <f t="shared" si="0"/>
        <v>360</v>
      </c>
      <c r="F5" s="1"/>
      <c r="G5" s="14" t="s">
        <v>205</v>
      </c>
      <c r="H5" s="64">
        <v>3700</v>
      </c>
      <c r="I5" s="64">
        <v>2860</v>
      </c>
      <c r="J5" s="64">
        <v>840</v>
      </c>
    </row>
    <row r="6" spans="1:10">
      <c r="A6" s="50" t="s">
        <v>214</v>
      </c>
      <c r="B6" s="2" t="s">
        <v>103</v>
      </c>
      <c r="C6" s="61">
        <v>1000</v>
      </c>
      <c r="D6" s="61">
        <v>950</v>
      </c>
      <c r="E6" s="61">
        <f t="shared" si="0"/>
        <v>50</v>
      </c>
      <c r="F6" s="1"/>
      <c r="G6" s="14" t="s">
        <v>206</v>
      </c>
      <c r="H6" s="64">
        <v>1000</v>
      </c>
      <c r="I6" s="64">
        <v>200</v>
      </c>
      <c r="J6" s="64">
        <v>800</v>
      </c>
    </row>
    <row r="7" spans="1:10">
      <c r="A7" s="50" t="s">
        <v>214</v>
      </c>
      <c r="B7" s="2" t="s">
        <v>104</v>
      </c>
      <c r="C7" s="61">
        <v>1000</v>
      </c>
      <c r="D7" s="61">
        <v>510</v>
      </c>
      <c r="E7" s="61">
        <f t="shared" si="0"/>
        <v>490</v>
      </c>
      <c r="F7" s="1"/>
      <c r="G7" s="1"/>
      <c r="H7" s="1"/>
      <c r="I7" s="1"/>
      <c r="J7" s="1"/>
    </row>
    <row r="8" spans="1:10">
      <c r="A8" s="50" t="s">
        <v>214</v>
      </c>
      <c r="B8" s="63" t="s">
        <v>105</v>
      </c>
      <c r="C8" s="61">
        <v>1000</v>
      </c>
      <c r="D8" s="61">
        <v>790</v>
      </c>
      <c r="E8" s="61">
        <f t="shared" si="0"/>
        <v>210</v>
      </c>
      <c r="F8" s="1"/>
      <c r="G8" s="1"/>
      <c r="H8" s="1"/>
      <c r="I8" s="1"/>
      <c r="J8" s="1"/>
    </row>
    <row r="9" spans="1:10">
      <c r="A9" s="50" t="s">
        <v>215</v>
      </c>
      <c r="B9" s="63" t="s">
        <v>113</v>
      </c>
      <c r="C9" s="61">
        <v>1200</v>
      </c>
      <c r="D9" s="61">
        <v>950</v>
      </c>
      <c r="E9" s="61">
        <f t="shared" ref="E9:E14" si="1">C9-D9</f>
        <v>250</v>
      </c>
      <c r="F9" s="1"/>
      <c r="G9" s="1"/>
      <c r="H9" s="1"/>
      <c r="I9" s="1"/>
      <c r="J9" s="1"/>
    </row>
    <row r="10" spans="1:10">
      <c r="A10" s="50" t="s">
        <v>215</v>
      </c>
      <c r="B10" s="2" t="s">
        <v>114</v>
      </c>
      <c r="C10" s="61">
        <v>1200</v>
      </c>
      <c r="D10" s="61">
        <v>650</v>
      </c>
      <c r="E10" s="61">
        <f t="shared" si="1"/>
        <v>550</v>
      </c>
      <c r="F10" s="1"/>
    </row>
    <row r="11" spans="1:10">
      <c r="A11" s="50" t="s">
        <v>215</v>
      </c>
      <c r="B11" s="2" t="s">
        <v>101</v>
      </c>
      <c r="C11" s="61">
        <v>1500</v>
      </c>
      <c r="D11" s="61">
        <v>340</v>
      </c>
      <c r="E11" s="61">
        <f t="shared" si="1"/>
        <v>1160</v>
      </c>
      <c r="F11" s="1"/>
    </row>
    <row r="12" spans="1:10">
      <c r="A12" s="50" t="s">
        <v>215</v>
      </c>
      <c r="B12" s="2" t="s">
        <v>104</v>
      </c>
      <c r="C12" s="61">
        <v>1500</v>
      </c>
      <c r="D12" s="61">
        <v>890</v>
      </c>
      <c r="E12" s="61">
        <f t="shared" si="1"/>
        <v>610</v>
      </c>
      <c r="F12" s="1"/>
    </row>
    <row r="13" spans="1:10">
      <c r="A13" s="50" t="s">
        <v>215</v>
      </c>
      <c r="B13" s="2" t="s">
        <v>115</v>
      </c>
      <c r="C13" s="61">
        <v>1500</v>
      </c>
      <c r="D13" s="61">
        <v>680</v>
      </c>
      <c r="E13" s="61">
        <f t="shared" si="1"/>
        <v>820</v>
      </c>
      <c r="F13" s="1"/>
    </row>
    <row r="14" spans="1:10">
      <c r="A14" s="50" t="s">
        <v>215</v>
      </c>
      <c r="B14" s="63" t="s">
        <v>116</v>
      </c>
      <c r="C14" s="62">
        <v>500</v>
      </c>
      <c r="D14" s="62">
        <v>120</v>
      </c>
      <c r="E14" s="62">
        <f t="shared" si="1"/>
        <v>380</v>
      </c>
      <c r="F14" s="1"/>
    </row>
    <row r="15" spans="1:10">
      <c r="A15" s="50" t="s">
        <v>216</v>
      </c>
      <c r="B15" s="2" t="s">
        <v>117</v>
      </c>
      <c r="C15" s="61">
        <v>700</v>
      </c>
      <c r="D15" s="61">
        <v>340</v>
      </c>
      <c r="E15" s="61">
        <f t="shared" ref="E15:E20" si="2">C15-D15</f>
        <v>360</v>
      </c>
      <c r="F15" s="1"/>
    </row>
    <row r="16" spans="1:10">
      <c r="A16" s="50" t="s">
        <v>216</v>
      </c>
      <c r="B16" s="2" t="s">
        <v>114</v>
      </c>
      <c r="C16" s="61">
        <v>700</v>
      </c>
      <c r="D16" s="61">
        <v>200</v>
      </c>
      <c r="E16" s="61">
        <f t="shared" si="2"/>
        <v>500</v>
      </c>
      <c r="F16" s="1"/>
      <c r="G16" s="1"/>
      <c r="H16" s="1"/>
      <c r="I16" s="1"/>
      <c r="J16" s="1"/>
    </row>
    <row r="17" spans="1:10">
      <c r="A17" s="50" t="s">
        <v>216</v>
      </c>
      <c r="B17" s="2" t="s">
        <v>118</v>
      </c>
      <c r="C17" s="61">
        <v>500</v>
      </c>
      <c r="D17" s="61">
        <v>150</v>
      </c>
      <c r="E17" s="61">
        <f t="shared" si="2"/>
        <v>350</v>
      </c>
      <c r="F17" s="1"/>
      <c r="G17" s="1"/>
      <c r="H17" s="1"/>
      <c r="I17" s="1"/>
      <c r="J17" s="1"/>
    </row>
    <row r="18" spans="1:10">
      <c r="A18" s="50" t="s">
        <v>216</v>
      </c>
      <c r="B18" s="2" t="s">
        <v>104</v>
      </c>
      <c r="C18" s="61">
        <v>500</v>
      </c>
      <c r="D18" s="61">
        <v>230</v>
      </c>
      <c r="E18" s="61">
        <f t="shared" si="2"/>
        <v>270</v>
      </c>
      <c r="F18" s="1"/>
      <c r="G18" s="1"/>
      <c r="H18" s="1"/>
      <c r="I18" s="1"/>
      <c r="J18" s="1"/>
    </row>
    <row r="19" spans="1:10">
      <c r="A19" s="50" t="s">
        <v>216</v>
      </c>
      <c r="B19" s="63" t="s">
        <v>113</v>
      </c>
      <c r="C19" s="61">
        <v>500</v>
      </c>
      <c r="D19" s="61">
        <v>170</v>
      </c>
      <c r="E19" s="61">
        <f t="shared" si="2"/>
        <v>330</v>
      </c>
      <c r="F19" s="1"/>
      <c r="G19" s="1"/>
      <c r="H19" s="1"/>
      <c r="I19" s="1"/>
      <c r="J19" s="1"/>
    </row>
    <row r="20" spans="1:10">
      <c r="A20" s="50" t="s">
        <v>216</v>
      </c>
      <c r="B20" s="63" t="s">
        <v>119</v>
      </c>
      <c r="C20" s="62">
        <v>500</v>
      </c>
      <c r="D20" s="62">
        <v>80</v>
      </c>
      <c r="E20" s="62">
        <f t="shared" si="2"/>
        <v>420</v>
      </c>
      <c r="F20" s="1"/>
      <c r="G20" s="1"/>
      <c r="H20" s="1"/>
      <c r="I20" s="1"/>
      <c r="J20" s="1"/>
    </row>
    <row r="21" spans="1:10">
      <c r="F21" s="1"/>
      <c r="G21" s="1"/>
      <c r="H21" s="1"/>
      <c r="I21" s="1"/>
      <c r="J21" s="1"/>
    </row>
    <row r="22" spans="1:10">
      <c r="F22" s="1"/>
      <c r="G22" s="1"/>
      <c r="H22" s="1"/>
      <c r="I22" s="1"/>
      <c r="J22" s="1"/>
    </row>
    <row r="23" spans="1:10">
      <c r="F23" s="1"/>
      <c r="G23" s="1"/>
      <c r="H23" s="1"/>
      <c r="I23" s="1"/>
      <c r="J23" s="1"/>
    </row>
  </sheetData>
  <dataConsolidate topLabels="1">
    <dataRefs count="1">
      <dataRef ref="B2:E20" sheet="분석작업-1"/>
    </dataRefs>
  </dataConsolidate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H20"/>
  <sheetViews>
    <sheetView workbookViewId="0"/>
  </sheetViews>
  <sheetFormatPr defaultRowHeight="17"/>
  <cols>
    <col min="1" max="1" width="2.58203125" customWidth="1"/>
    <col min="2" max="2" width="14.1640625" customWidth="1"/>
    <col min="3" max="3" width="10.08203125" customWidth="1"/>
    <col min="4" max="8" width="11.6640625" customWidth="1"/>
  </cols>
  <sheetData>
    <row r="1" spans="1:8">
      <c r="A1" s="15"/>
      <c r="B1" s="15"/>
      <c r="C1" s="15"/>
      <c r="D1" s="15"/>
      <c r="E1" s="15"/>
      <c r="F1" s="15"/>
      <c r="G1" s="15"/>
      <c r="H1" s="15"/>
    </row>
    <row r="2" spans="1:8">
      <c r="A2" s="15"/>
      <c r="B2" s="66" t="s">
        <v>120</v>
      </c>
      <c r="C2" s="66"/>
      <c r="D2" s="15"/>
      <c r="E2" s="15"/>
      <c r="F2" s="15"/>
      <c r="G2" s="15"/>
      <c r="H2" s="15"/>
    </row>
    <row r="3" spans="1:8">
      <c r="A3" s="15"/>
      <c r="B3" s="16" t="s">
        <v>121</v>
      </c>
      <c r="C3" s="17">
        <v>2500</v>
      </c>
      <c r="D3" s="15"/>
      <c r="E3" s="15"/>
      <c r="F3" s="15"/>
      <c r="G3" s="15"/>
      <c r="H3" s="15"/>
    </row>
    <row r="4" spans="1:8">
      <c r="A4" s="15"/>
      <c r="B4" s="16" t="s">
        <v>122</v>
      </c>
      <c r="C4" s="17">
        <v>3200</v>
      </c>
      <c r="D4" s="15"/>
      <c r="E4" s="15"/>
      <c r="F4" s="15"/>
      <c r="G4" s="15"/>
      <c r="H4" s="15"/>
    </row>
    <row r="5" spans="1:8">
      <c r="A5" s="15"/>
      <c r="B5" s="16" t="s">
        <v>123</v>
      </c>
      <c r="C5" s="17">
        <v>500</v>
      </c>
      <c r="D5" s="15"/>
      <c r="E5" s="15"/>
      <c r="F5" s="15"/>
      <c r="G5" s="15"/>
      <c r="H5" s="15"/>
    </row>
    <row r="6" spans="1:8">
      <c r="A6" s="15"/>
      <c r="B6" s="16" t="s">
        <v>124</v>
      </c>
      <c r="C6" s="17">
        <v>50</v>
      </c>
      <c r="D6" s="15"/>
      <c r="E6" s="15"/>
      <c r="F6" s="15"/>
      <c r="G6" s="15"/>
      <c r="H6" s="15"/>
    </row>
    <row r="7" spans="1:8">
      <c r="A7" s="15"/>
      <c r="B7" s="16" t="s">
        <v>125</v>
      </c>
      <c r="C7" s="18">
        <v>500</v>
      </c>
      <c r="D7" s="15"/>
      <c r="E7" s="15"/>
      <c r="F7" s="15"/>
      <c r="G7" s="15"/>
      <c r="H7" s="15"/>
    </row>
    <row r="8" spans="1:8">
      <c r="A8" s="15"/>
      <c r="B8" s="16" t="s">
        <v>126</v>
      </c>
      <c r="C8" s="19">
        <f>($C$4-$C$3)*$C$7-$C$5-$C$6</f>
        <v>349450</v>
      </c>
      <c r="D8" s="15"/>
      <c r="E8" s="15"/>
      <c r="F8" s="15"/>
      <c r="G8" s="15"/>
      <c r="H8" s="15"/>
    </row>
    <row r="9" spans="1:8">
      <c r="A9" s="15"/>
      <c r="B9" s="15"/>
      <c r="C9" s="15"/>
      <c r="D9" s="15"/>
      <c r="E9" s="15"/>
      <c r="F9" s="15"/>
      <c r="G9" s="15"/>
      <c r="H9" s="15"/>
    </row>
    <row r="10" spans="1:8">
      <c r="A10" s="15"/>
      <c r="B10" s="20"/>
      <c r="C10" s="21"/>
      <c r="D10" s="15"/>
      <c r="E10" s="15"/>
      <c r="F10" s="15"/>
      <c r="G10" s="15"/>
      <c r="H10" s="15"/>
    </row>
    <row r="11" spans="1:8">
      <c r="A11" s="15"/>
      <c r="B11" s="67" t="s">
        <v>127</v>
      </c>
      <c r="C11" s="68"/>
      <c r="D11" s="68"/>
      <c r="E11" s="68"/>
      <c r="F11" s="68"/>
      <c r="G11" s="68"/>
      <c r="H11" s="69"/>
    </row>
    <row r="12" spans="1:8" ht="17.5" thickBot="1">
      <c r="A12" s="15"/>
      <c r="B12" s="15"/>
      <c r="C12" s="22"/>
      <c r="D12" s="23"/>
      <c r="E12" s="23"/>
      <c r="F12" s="23"/>
      <c r="G12" s="23"/>
      <c r="H12" s="23"/>
    </row>
    <row r="13" spans="1:8" ht="17.5" thickBot="1">
      <c r="A13" s="15"/>
      <c r="B13" s="15"/>
      <c r="C13" s="15"/>
      <c r="D13" s="70" t="s">
        <v>128</v>
      </c>
      <c r="E13" s="71"/>
      <c r="F13" s="71"/>
      <c r="G13" s="71"/>
      <c r="H13" s="72"/>
    </row>
    <row r="14" spans="1:8" ht="17.5" thickBot="1">
      <c r="A14" s="15"/>
      <c r="B14" s="15"/>
      <c r="C14" s="24">
        <f>C8</f>
        <v>349450</v>
      </c>
      <c r="D14" s="25">
        <v>300</v>
      </c>
      <c r="E14" s="26">
        <v>400</v>
      </c>
      <c r="F14" s="26">
        <v>500</v>
      </c>
      <c r="G14" s="26">
        <v>600</v>
      </c>
      <c r="H14" s="27">
        <v>700</v>
      </c>
    </row>
    <row r="15" spans="1:8">
      <c r="A15" s="15"/>
      <c r="B15" s="73" t="s">
        <v>122</v>
      </c>
      <c r="C15" s="28">
        <v>2500</v>
      </c>
      <c r="D15" s="52">
        <f t="dataTable" ref="D15:H20" dt2D="1" dtr="1" r1="C7" r2="C4"/>
        <v>-550</v>
      </c>
      <c r="E15" s="53">
        <v>-550</v>
      </c>
      <c r="F15" s="53">
        <v>-550</v>
      </c>
      <c r="G15" s="53">
        <v>-550</v>
      </c>
      <c r="H15" s="54">
        <v>-550</v>
      </c>
    </row>
    <row r="16" spans="1:8">
      <c r="A16" s="15"/>
      <c r="B16" s="74"/>
      <c r="C16" s="29">
        <v>3000</v>
      </c>
      <c r="D16" s="55">
        <v>149450</v>
      </c>
      <c r="E16" s="56">
        <v>199450</v>
      </c>
      <c r="F16" s="56">
        <v>249450</v>
      </c>
      <c r="G16" s="56">
        <v>299450</v>
      </c>
      <c r="H16" s="57">
        <v>349450</v>
      </c>
    </row>
    <row r="17" spans="1:8">
      <c r="A17" s="15"/>
      <c r="B17" s="74"/>
      <c r="C17" s="29">
        <v>3500</v>
      </c>
      <c r="D17" s="55">
        <v>299450</v>
      </c>
      <c r="E17" s="56">
        <v>399450</v>
      </c>
      <c r="F17" s="56">
        <v>499450</v>
      </c>
      <c r="G17" s="56">
        <v>599450</v>
      </c>
      <c r="H17" s="57">
        <v>699450</v>
      </c>
    </row>
    <row r="18" spans="1:8">
      <c r="A18" s="15"/>
      <c r="B18" s="74"/>
      <c r="C18" s="29">
        <v>4000</v>
      </c>
      <c r="D18" s="55">
        <v>449450</v>
      </c>
      <c r="E18" s="56">
        <v>599450</v>
      </c>
      <c r="F18" s="56">
        <v>749450</v>
      </c>
      <c r="G18" s="56">
        <v>899450</v>
      </c>
      <c r="H18" s="57">
        <v>1049450</v>
      </c>
    </row>
    <row r="19" spans="1:8">
      <c r="A19" s="15"/>
      <c r="B19" s="74"/>
      <c r="C19" s="29">
        <v>4500</v>
      </c>
      <c r="D19" s="55">
        <v>599450</v>
      </c>
      <c r="E19" s="56">
        <v>799450</v>
      </c>
      <c r="F19" s="56">
        <v>999450</v>
      </c>
      <c r="G19" s="56">
        <v>1199450</v>
      </c>
      <c r="H19" s="57">
        <v>1399450</v>
      </c>
    </row>
    <row r="20" spans="1:8" ht="17.5" thickBot="1">
      <c r="A20" s="15"/>
      <c r="B20" s="75"/>
      <c r="C20" s="30">
        <v>5000</v>
      </c>
      <c r="D20" s="58">
        <v>749450</v>
      </c>
      <c r="E20" s="59">
        <v>999450</v>
      </c>
      <c r="F20" s="59">
        <v>1249450</v>
      </c>
      <c r="G20" s="59">
        <v>1499450</v>
      </c>
      <c r="H20" s="60">
        <v>1749450</v>
      </c>
    </row>
  </sheetData>
  <mergeCells count="4">
    <mergeCell ref="B2:C2"/>
    <mergeCell ref="B11:H11"/>
    <mergeCell ref="D13:H13"/>
    <mergeCell ref="B15:B20"/>
  </mergeCells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F9"/>
  <sheetViews>
    <sheetView workbookViewId="0"/>
  </sheetViews>
  <sheetFormatPr defaultRowHeight="17"/>
  <cols>
    <col min="5" max="6" width="11.6640625" bestFit="1" customWidth="1"/>
  </cols>
  <sheetData>
    <row r="1" spans="1:6">
      <c r="A1" s="3" t="s">
        <v>129</v>
      </c>
      <c r="B1" s="3" t="s">
        <v>130</v>
      </c>
      <c r="C1" s="3"/>
      <c r="D1" s="3"/>
      <c r="E1" s="3"/>
      <c r="F1" s="3"/>
    </row>
    <row r="2" spans="1:6">
      <c r="A2" s="48" t="s">
        <v>131</v>
      </c>
      <c r="B2" s="48" t="s">
        <v>132</v>
      </c>
      <c r="C2" s="48" t="s">
        <v>133</v>
      </c>
      <c r="D2" s="48" t="s">
        <v>134</v>
      </c>
      <c r="E2" s="48" t="s">
        <v>135</v>
      </c>
      <c r="F2" s="48" t="s">
        <v>136</v>
      </c>
    </row>
    <row r="3" spans="1:6">
      <c r="A3" s="9" t="s">
        <v>137</v>
      </c>
      <c r="B3" s="9">
        <v>37000</v>
      </c>
      <c r="C3" s="9">
        <v>100</v>
      </c>
      <c r="D3" s="9">
        <v>0.03</v>
      </c>
      <c r="E3" s="46">
        <v>3700000</v>
      </c>
      <c r="F3" s="46">
        <v>4440000</v>
      </c>
    </row>
    <row r="4" spans="1:6">
      <c r="A4" s="9" t="s">
        <v>138</v>
      </c>
      <c r="B4" s="9">
        <v>4500</v>
      </c>
      <c r="C4" s="9">
        <v>1200</v>
      </c>
      <c r="D4" s="9">
        <v>0.02</v>
      </c>
      <c r="E4" s="46">
        <v>5400000</v>
      </c>
      <c r="F4" s="46">
        <v>6480000</v>
      </c>
    </row>
    <row r="5" spans="1:6">
      <c r="A5" s="9" t="s">
        <v>139</v>
      </c>
      <c r="B5" s="9">
        <v>6500</v>
      </c>
      <c r="C5" s="9">
        <v>2200</v>
      </c>
      <c r="D5" s="9">
        <v>0.05</v>
      </c>
      <c r="E5" s="46">
        <v>14300000</v>
      </c>
      <c r="F5" s="46">
        <v>17160000</v>
      </c>
    </row>
    <row r="6" spans="1:6">
      <c r="A6" s="9" t="s">
        <v>140</v>
      </c>
      <c r="B6" s="9">
        <v>32500</v>
      </c>
      <c r="C6" s="9">
        <v>450</v>
      </c>
      <c r="D6" s="9">
        <v>7.0000000000000007E-2</v>
      </c>
      <c r="E6" s="46">
        <v>14625000</v>
      </c>
      <c r="F6" s="46">
        <v>17550000</v>
      </c>
    </row>
    <row r="7" spans="1:6">
      <c r="A7" s="9" t="s">
        <v>141</v>
      </c>
      <c r="B7" s="9">
        <v>6600</v>
      </c>
      <c r="C7" s="9">
        <v>660</v>
      </c>
      <c r="D7" s="9">
        <v>0.05</v>
      </c>
      <c r="E7" s="46">
        <v>4356000</v>
      </c>
      <c r="F7" s="46">
        <v>5227200</v>
      </c>
    </row>
    <row r="8" spans="1:6">
      <c r="A8" s="9" t="s">
        <v>142</v>
      </c>
      <c r="B8" s="9">
        <v>78000</v>
      </c>
      <c r="C8" s="9">
        <v>89</v>
      </c>
      <c r="D8" s="9">
        <v>0.05</v>
      </c>
      <c r="E8" s="46">
        <v>6942000</v>
      </c>
      <c r="F8" s="46">
        <v>8330400</v>
      </c>
    </row>
    <row r="9" spans="1:6">
      <c r="A9" s="76" t="s">
        <v>143</v>
      </c>
      <c r="B9" s="76"/>
      <c r="C9" s="76"/>
      <c r="D9" s="76"/>
      <c r="E9" s="47">
        <f>AVERAGE(E3:E8)</f>
        <v>8220500</v>
      </c>
      <c r="F9" s="47">
        <f>AVERAGE(F3:F8)</f>
        <v>9864600</v>
      </c>
    </row>
  </sheetData>
  <mergeCells count="1">
    <mergeCell ref="A9:D9"/>
  </mergeCells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D9"/>
  <sheetViews>
    <sheetView workbookViewId="0"/>
  </sheetViews>
  <sheetFormatPr defaultRowHeight="17"/>
  <cols>
    <col min="1" max="1" width="12.75" customWidth="1"/>
    <col min="2" max="2" width="10.75" customWidth="1"/>
    <col min="3" max="3" width="12.33203125" customWidth="1"/>
    <col min="4" max="4" width="11.08203125" customWidth="1"/>
  </cols>
  <sheetData>
    <row r="1" spans="1:4">
      <c r="A1" s="31" t="s">
        <v>144</v>
      </c>
      <c r="B1" s="32"/>
      <c r="C1" s="33"/>
      <c r="D1" s="33" t="s">
        <v>145</v>
      </c>
    </row>
    <row r="2" spans="1:4">
      <c r="A2" s="12" t="s">
        <v>146</v>
      </c>
      <c r="B2" s="34" t="s">
        <v>147</v>
      </c>
      <c r="C2" s="34" t="s">
        <v>148</v>
      </c>
      <c r="D2" s="34" t="s">
        <v>149</v>
      </c>
    </row>
    <row r="3" spans="1:4">
      <c r="A3" s="35" t="s">
        <v>150</v>
      </c>
      <c r="B3" s="36">
        <v>4270</v>
      </c>
      <c r="C3" s="36">
        <v>809000</v>
      </c>
      <c r="D3" s="36">
        <v>31800</v>
      </c>
    </row>
    <row r="4" spans="1:4">
      <c r="A4" s="35" t="s">
        <v>151</v>
      </c>
      <c r="B4" s="36">
        <v>5500</v>
      </c>
      <c r="C4" s="36">
        <v>1766000</v>
      </c>
      <c r="D4" s="36">
        <v>49900</v>
      </c>
    </row>
    <row r="5" spans="1:4">
      <c r="A5" s="35" t="s">
        <v>152</v>
      </c>
      <c r="B5" s="36">
        <v>1597</v>
      </c>
      <c r="C5" s="36">
        <v>526000</v>
      </c>
      <c r="D5" s="36">
        <v>4100</v>
      </c>
    </row>
    <row r="6" spans="1:4">
      <c r="A6" s="35" t="s">
        <v>153</v>
      </c>
      <c r="B6" s="36">
        <v>2984</v>
      </c>
      <c r="C6" s="36">
        <v>985000</v>
      </c>
      <c r="D6" s="36">
        <v>6200</v>
      </c>
    </row>
    <row r="7" spans="1:4">
      <c r="A7" s="35" t="s">
        <v>154</v>
      </c>
      <c r="B7" s="36">
        <v>670</v>
      </c>
      <c r="C7" s="36">
        <v>51000</v>
      </c>
      <c r="D7" s="36">
        <v>1500</v>
      </c>
    </row>
    <row r="8" spans="1:4">
      <c r="A8" s="35" t="s">
        <v>155</v>
      </c>
      <c r="B8" s="36">
        <v>3890</v>
      </c>
      <c r="C8" s="36">
        <v>672000</v>
      </c>
      <c r="D8" s="36">
        <v>26900</v>
      </c>
    </row>
    <row r="9" spans="1:4">
      <c r="A9" s="35" t="s">
        <v>156</v>
      </c>
      <c r="B9" s="37">
        <v>1340</v>
      </c>
      <c r="C9" s="37">
        <v>489000</v>
      </c>
      <c r="D9" s="37">
        <v>5600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2020-04-06T00:11:56Z</dcterms:created>
  <dcterms:modified xsi:type="dcterms:W3CDTF">2023-05-12T04:31:32Z</dcterms:modified>
</cp:coreProperties>
</file>