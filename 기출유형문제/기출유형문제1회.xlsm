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FB848598-8CB4-4157-BFDC-71931E1F045A}" xr6:coauthVersionLast="47" xr6:coauthVersionMax="47" xr10:uidLastSave="{00000000-0000-0000-0000-000000000000}"/>
  <bookViews>
    <workbookView xWindow="1970" yWindow="2190" windowWidth="16760" windowHeight="17180" tabRatio="90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10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0" l="1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C8" i="6"/>
  <c r="H13" i="3"/>
  <c r="H12" i="3"/>
  <c r="H11" i="3"/>
  <c r="H10" i="3"/>
  <c r="H9" i="3"/>
  <c r="H8" i="3"/>
  <c r="H7" i="3"/>
  <c r="H6" i="3"/>
  <c r="H5" i="3"/>
</calcChain>
</file>

<file path=xl/sharedStrings.xml><?xml version="1.0" encoding="utf-8"?>
<sst xmlns="http://schemas.openxmlformats.org/spreadsheetml/2006/main" count="209" uniqueCount="160">
  <si>
    <t>Books for baby</t>
    <phoneticPr fontId="1" type="noConversion"/>
  </si>
  <si>
    <t>운영 중인 온라인 카페 현황</t>
    <phoneticPr fontId="1" type="noConversion"/>
  </si>
  <si>
    <t>카페명</t>
    <phoneticPr fontId="1" type="noConversion"/>
  </si>
  <si>
    <t>카페회장</t>
    <phoneticPr fontId="1" type="noConversion"/>
  </si>
  <si>
    <t>개설일</t>
    <phoneticPr fontId="1" type="noConversion"/>
  </si>
  <si>
    <t>카페회원</t>
    <phoneticPr fontId="1" type="noConversion"/>
  </si>
  <si>
    <t>가입비</t>
    <phoneticPr fontId="1" type="noConversion"/>
  </si>
  <si>
    <t>정기모임
참석비율</t>
    <phoneticPr fontId="1" type="noConversion"/>
  </si>
  <si>
    <t>정기모임
요일</t>
    <phoneticPr fontId="1" type="noConversion"/>
  </si>
  <si>
    <t>아루 할머니의 영어 카페</t>
    <phoneticPr fontId="1" type="noConversion"/>
  </si>
  <si>
    <t>김신숙</t>
    <phoneticPr fontId="1" type="noConversion"/>
  </si>
  <si>
    <t>화요일</t>
    <phoneticPr fontId="1" type="noConversion"/>
  </si>
  <si>
    <t>품앗이 파워</t>
    <phoneticPr fontId="1" type="noConversion"/>
  </si>
  <si>
    <t>송재영</t>
    <phoneticPr fontId="1" type="noConversion"/>
  </si>
  <si>
    <t>목요일</t>
    <phoneticPr fontId="1" type="noConversion"/>
  </si>
  <si>
    <t>나치 엄마들의 생각 키우기</t>
    <phoneticPr fontId="1" type="noConversion"/>
  </si>
  <si>
    <t>김철수</t>
    <phoneticPr fontId="1" type="noConversion"/>
  </si>
  <si>
    <t>금요일</t>
    <phoneticPr fontId="1" type="noConversion"/>
  </si>
  <si>
    <t>맘스홀 홈스쿨</t>
    <phoneticPr fontId="1" type="noConversion"/>
  </si>
  <si>
    <t>박명은</t>
    <phoneticPr fontId="1" type="noConversion"/>
  </si>
  <si>
    <t>토요일</t>
    <phoneticPr fontId="1" type="noConversion"/>
  </si>
  <si>
    <t>녹색 자전거</t>
    <phoneticPr fontId="1" type="noConversion"/>
  </si>
  <si>
    <t>이재호</t>
    <phoneticPr fontId="1" type="noConversion"/>
  </si>
  <si>
    <t>토요일</t>
    <phoneticPr fontId="1" type="noConversion"/>
  </si>
  <si>
    <t>플루트 찬송</t>
    <phoneticPr fontId="1" type="noConversion"/>
  </si>
  <si>
    <t>황가연</t>
    <phoneticPr fontId="1" type="noConversion"/>
  </si>
  <si>
    <t>일요일</t>
    <phoneticPr fontId="1" type="noConversion"/>
  </si>
  <si>
    <t>봉사의 기쁨</t>
    <phoneticPr fontId="1" type="noConversion"/>
  </si>
  <si>
    <t>최한나</t>
    <phoneticPr fontId="1" type="noConversion"/>
  </si>
  <si>
    <t>수요일</t>
    <phoneticPr fontId="1" type="noConversion"/>
  </si>
  <si>
    <t>신입사원 채용 시험 결과</t>
  </si>
  <si>
    <t>응시번호</t>
  </si>
  <si>
    <t>성명</t>
  </si>
  <si>
    <t>전공</t>
  </si>
  <si>
    <t>필기점수</t>
  </si>
  <si>
    <t>실기점수</t>
  </si>
  <si>
    <t>면접점수</t>
  </si>
  <si>
    <t>총점</t>
  </si>
  <si>
    <t>A11-587</t>
    <phoneticPr fontId="3" type="noConversion"/>
  </si>
  <si>
    <t>유효선</t>
  </si>
  <si>
    <t>경영학과</t>
  </si>
  <si>
    <t>E12-201</t>
    <phoneticPr fontId="3" type="noConversion"/>
  </si>
  <si>
    <t>이성일</t>
  </si>
  <si>
    <t>경제학과</t>
  </si>
  <si>
    <t>A20-890</t>
    <phoneticPr fontId="3" type="noConversion"/>
  </si>
  <si>
    <t>조인선</t>
  </si>
  <si>
    <t>무역학과</t>
  </si>
  <si>
    <t>B13-850</t>
    <phoneticPr fontId="3" type="noConversion"/>
  </si>
  <si>
    <t>손영자</t>
  </si>
  <si>
    <t>C45-560</t>
    <phoneticPr fontId="3" type="noConversion"/>
  </si>
  <si>
    <t>박종찬</t>
  </si>
  <si>
    <t>A59-860</t>
    <phoneticPr fontId="3" type="noConversion"/>
  </si>
  <si>
    <t>김준호</t>
  </si>
  <si>
    <t>B20-963</t>
    <phoneticPr fontId="3" type="noConversion"/>
  </si>
  <si>
    <t>정세라</t>
  </si>
  <si>
    <t>A34-620</t>
    <phoneticPr fontId="3" type="noConversion"/>
  </si>
  <si>
    <t>최진호</t>
  </si>
  <si>
    <t>A96-741</t>
    <phoneticPr fontId="3" type="noConversion"/>
  </si>
  <si>
    <t>정서영</t>
  </si>
  <si>
    <t>[표1]</t>
    <phoneticPr fontId="3" type="noConversion"/>
  </si>
  <si>
    <t>이름</t>
    <phoneticPr fontId="3" type="noConversion"/>
  </si>
  <si>
    <t>영어</t>
    <phoneticPr fontId="3" type="noConversion"/>
  </si>
  <si>
    <t>소속</t>
    <phoneticPr fontId="3" type="noConversion"/>
  </si>
  <si>
    <t>서초</t>
    <phoneticPr fontId="3" type="noConversion"/>
  </si>
  <si>
    <t>방배</t>
    <phoneticPr fontId="3" type="noConversion"/>
  </si>
  <si>
    <t>[표3]</t>
    <phoneticPr fontId="3" type="noConversion"/>
  </si>
  <si>
    <t>판매실적</t>
    <phoneticPr fontId="3" type="noConversion"/>
  </si>
  <si>
    <t>지역</t>
    <phoneticPr fontId="3" type="noConversion"/>
  </si>
  <si>
    <t>교재명</t>
    <phoneticPr fontId="3" type="noConversion"/>
  </si>
  <si>
    <t>판매량</t>
    <phoneticPr fontId="3" type="noConversion"/>
  </si>
  <si>
    <t>판매금액</t>
    <phoneticPr fontId="3" type="noConversion"/>
  </si>
  <si>
    <t>서울</t>
    <phoneticPr fontId="3" type="noConversion"/>
  </si>
  <si>
    <t>컴활1급</t>
    <phoneticPr fontId="3" type="noConversion"/>
  </si>
  <si>
    <t>판매가</t>
    <phoneticPr fontId="3" type="noConversion"/>
  </si>
  <si>
    <t>청주</t>
    <phoneticPr fontId="3" type="noConversion"/>
  </si>
  <si>
    <t>워드1급</t>
    <phoneticPr fontId="3" type="noConversion"/>
  </si>
  <si>
    <t>59사</t>
    <phoneticPr fontId="3" type="noConversion"/>
  </si>
  <si>
    <t>부산</t>
    <phoneticPr fontId="3" type="noConversion"/>
  </si>
  <si>
    <t>컴활2급</t>
    <phoneticPr fontId="3" type="noConversion"/>
  </si>
  <si>
    <t>워드2급</t>
    <phoneticPr fontId="3" type="noConversion"/>
  </si>
  <si>
    <t>광주</t>
    <phoneticPr fontId="3" type="noConversion"/>
  </si>
  <si>
    <t>강릉</t>
    <phoneticPr fontId="3" type="noConversion"/>
  </si>
  <si>
    <t>제로</t>
    <phoneticPr fontId="3" type="noConversion"/>
  </si>
  <si>
    <t>대구</t>
    <phoneticPr fontId="3" type="noConversion"/>
  </si>
  <si>
    <t>대전</t>
    <phoneticPr fontId="3" type="noConversion"/>
  </si>
  <si>
    <t>입사 시험 평가 점수</t>
    <phoneticPr fontId="3" type="noConversion"/>
  </si>
  <si>
    <t>수학</t>
    <phoneticPr fontId="3" type="noConversion"/>
  </si>
  <si>
    <t>면접점수</t>
    <phoneticPr fontId="3" type="noConversion"/>
  </si>
  <si>
    <t>평가</t>
    <phoneticPr fontId="3" type="noConversion"/>
  </si>
  <si>
    <t>고은비</t>
    <phoneticPr fontId="3" type="noConversion"/>
  </si>
  <si>
    <t>김시진</t>
    <phoneticPr fontId="3" type="noConversion"/>
  </si>
  <si>
    <t>김민영</t>
    <phoneticPr fontId="3" type="noConversion"/>
  </si>
  <si>
    <t>조아라</t>
    <phoneticPr fontId="3" type="noConversion"/>
  </si>
  <si>
    <t>이성철</t>
    <phoneticPr fontId="3" type="noConversion"/>
  </si>
  <si>
    <t>박승진</t>
    <phoneticPr fontId="3" type="noConversion"/>
  </si>
  <si>
    <t>상품명</t>
    <phoneticPr fontId="3" type="noConversion"/>
  </si>
  <si>
    <t>매입수량</t>
    <phoneticPr fontId="3" type="noConversion"/>
  </si>
  <si>
    <t>매출수량</t>
    <phoneticPr fontId="3" type="noConversion"/>
  </si>
  <si>
    <t>재고수량</t>
    <phoneticPr fontId="3" type="noConversion"/>
  </si>
  <si>
    <t>WOW-01</t>
    <phoneticPr fontId="3" type="noConversion"/>
  </si>
  <si>
    <t>TALK-01</t>
    <phoneticPr fontId="3" type="noConversion"/>
  </si>
  <si>
    <t>WOW-03</t>
  </si>
  <si>
    <t>SALT-01</t>
    <phoneticPr fontId="3" type="noConversion"/>
  </si>
  <si>
    <t>TALK-02</t>
  </si>
  <si>
    <t>SHA-02</t>
  </si>
  <si>
    <t>[표2]</t>
    <phoneticPr fontId="3" type="noConversion"/>
  </si>
  <si>
    <t>[표4]</t>
    <phoneticPr fontId="3" type="noConversion"/>
  </si>
  <si>
    <t xml:space="preserve">서울 재고 현황 </t>
    <phoneticPr fontId="3" type="noConversion"/>
  </si>
  <si>
    <t>SHA-01</t>
    <phoneticPr fontId="3" type="noConversion"/>
  </si>
  <si>
    <t>WOW-02</t>
  </si>
  <si>
    <t>TALK-03</t>
  </si>
  <si>
    <t>MAT-01</t>
    <phoneticPr fontId="3" type="noConversion"/>
  </si>
  <si>
    <t>MNA-02</t>
    <phoneticPr fontId="3" type="noConversion"/>
  </si>
  <si>
    <t>순이익 계산</t>
    <phoneticPr fontId="3" type="noConversion"/>
  </si>
  <si>
    <t>제조원가</t>
    <phoneticPr fontId="3" type="noConversion"/>
  </si>
  <si>
    <t>판매가</t>
    <phoneticPr fontId="3" type="noConversion"/>
  </si>
  <si>
    <t>초기투자비용</t>
    <phoneticPr fontId="3" type="noConversion"/>
  </si>
  <si>
    <t>홍보비용</t>
    <phoneticPr fontId="3" type="noConversion"/>
  </si>
  <si>
    <t>판매량</t>
    <phoneticPr fontId="3" type="noConversion"/>
  </si>
  <si>
    <t>순이익금</t>
    <phoneticPr fontId="3" type="noConversion"/>
  </si>
  <si>
    <t>판매량과 판매가 변동에 따른 순이익금 계산표</t>
    <phoneticPr fontId="3" type="noConversion"/>
  </si>
  <si>
    <t>판 매 량</t>
    <phoneticPr fontId="3" type="noConversion"/>
  </si>
  <si>
    <t>[표1]</t>
    <phoneticPr fontId="3" type="noConversion"/>
  </si>
  <si>
    <t>12월 문구 생산 현황</t>
    <phoneticPr fontId="3" type="noConversion"/>
  </si>
  <si>
    <t xml:space="preserve">품명 </t>
  </si>
  <si>
    <t>수량</t>
  </si>
  <si>
    <t>원가</t>
  </si>
  <si>
    <t>불량률</t>
  </si>
  <si>
    <t>생산비용</t>
    <phoneticPr fontId="3" type="noConversion"/>
  </si>
  <si>
    <t>목표매출액</t>
  </si>
  <si>
    <t>사인펜</t>
    <phoneticPr fontId="3" type="noConversion"/>
  </si>
  <si>
    <t>연필깍기</t>
    <phoneticPr fontId="3" type="noConversion"/>
  </si>
  <si>
    <t>만년필</t>
    <phoneticPr fontId="3" type="noConversion"/>
  </si>
  <si>
    <t>자</t>
    <phoneticPr fontId="3" type="noConversion"/>
  </si>
  <si>
    <t>형광펜</t>
    <phoneticPr fontId="3" type="noConversion"/>
  </si>
  <si>
    <t>볼펜</t>
    <phoneticPr fontId="3" type="noConversion"/>
  </si>
  <si>
    <t>평      균</t>
    <phoneticPr fontId="3" type="noConversion"/>
  </si>
  <si>
    <t>분야별 사설학원 현황</t>
    <phoneticPr fontId="3" type="noConversion"/>
  </si>
  <si>
    <t>(단위: 명)</t>
    <phoneticPr fontId="3" type="noConversion"/>
  </si>
  <si>
    <t>분야</t>
    <phoneticPr fontId="3" type="noConversion"/>
  </si>
  <si>
    <t>학원 수</t>
    <phoneticPr fontId="3" type="noConversion"/>
  </si>
  <si>
    <t>수강자 수</t>
    <phoneticPr fontId="3" type="noConversion"/>
  </si>
  <si>
    <t>강사 수</t>
    <phoneticPr fontId="3" type="noConversion"/>
  </si>
  <si>
    <t>입시학원</t>
    <phoneticPr fontId="3" type="noConversion"/>
  </si>
  <si>
    <t>어학원</t>
    <phoneticPr fontId="3" type="noConversion"/>
  </si>
  <si>
    <t>음악</t>
    <phoneticPr fontId="3" type="noConversion"/>
  </si>
  <si>
    <t>컴퓨터</t>
    <phoneticPr fontId="3" type="noConversion"/>
  </si>
  <si>
    <t>요리</t>
    <phoneticPr fontId="3" type="noConversion"/>
  </si>
  <si>
    <t>운동</t>
    <phoneticPr fontId="3" type="noConversion"/>
  </si>
  <si>
    <t>미술</t>
    <phoneticPr fontId="3" type="noConversion"/>
  </si>
  <si>
    <t>전체 평균 - 서초 평균</t>
    <phoneticPr fontId="3" type="noConversion"/>
  </si>
  <si>
    <t>영어순위</t>
    <phoneticPr fontId="3" type="noConversion"/>
  </si>
  <si>
    <t>성적우수자</t>
    <phoneticPr fontId="3" type="noConversion"/>
  </si>
  <si>
    <t>김민아</t>
    <phoneticPr fontId="3" type="noConversion"/>
  </si>
  <si>
    <t>송미준</t>
    <phoneticPr fontId="3" type="noConversion"/>
  </si>
  <si>
    <r>
      <t>[표5]</t>
    </r>
    <r>
      <rPr>
        <sz val="11"/>
        <color theme="1"/>
        <rFont val="맑은 고딕"/>
        <family val="3"/>
        <charset val="129"/>
        <scheme val="minor"/>
      </rPr>
      <t xml:space="preserve"> 도서 할인목록</t>
    </r>
    <phoneticPr fontId="3" type="noConversion"/>
  </si>
  <si>
    <t>지점</t>
    <phoneticPr fontId="1" type="noConversion"/>
  </si>
  <si>
    <t>노량진</t>
    <phoneticPr fontId="1" type="noConversion"/>
  </si>
  <si>
    <t>종로</t>
    <phoneticPr fontId="1" type="noConversion"/>
  </si>
  <si>
    <t>강남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</si>
</sst>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&quot;₩&quot;#,##0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177" fontId="4" fillId="0" borderId="1" xfId="2" applyNumberFormat="1" applyFont="1" applyBorder="1" applyAlignment="1"/>
    <xf numFmtId="0" fontId="4" fillId="0" borderId="1" xfId="2" applyNumberFormat="1" applyFont="1" applyBorder="1" applyAlignment="1"/>
    <xf numFmtId="177" fontId="5" fillId="0" borderId="1" xfId="2" applyNumberFormat="1" applyFont="1" applyFill="1" applyBorder="1" applyAlignment="1"/>
    <xf numFmtId="0" fontId="4" fillId="0" borderId="0" xfId="0" applyFont="1" applyBorder="1">
      <alignment vertical="center"/>
    </xf>
    <xf numFmtId="42" fontId="5" fillId="0" borderId="0" xfId="2" applyFont="1" applyBorder="1" applyAlignment="1"/>
    <xf numFmtId="42" fontId="5" fillId="0" borderId="0" xfId="2" applyFont="1" applyAlignment="1"/>
    <xf numFmtId="0" fontId="5" fillId="0" borderId="0" xfId="0" applyFont="1" applyAlignment="1">
      <alignment horizontal="center"/>
    </xf>
    <xf numFmtId="177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1" applyNumberFormat="1" applyFont="1" applyBorder="1">
      <alignment vertical="center"/>
    </xf>
    <xf numFmtId="0" fontId="4" fillId="0" borderId="15" xfId="1" applyNumberFormat="1" applyFont="1" applyBorder="1">
      <alignment vertical="center"/>
    </xf>
    <xf numFmtId="0" fontId="4" fillId="0" borderId="16" xfId="1" applyNumberFormat="1" applyFont="1" applyBorder="1">
      <alignment vertical="center"/>
    </xf>
    <xf numFmtId="0" fontId="4" fillId="0" borderId="18" xfId="0" applyFont="1" applyBorder="1">
      <alignment vertical="center"/>
    </xf>
    <xf numFmtId="0" fontId="4" fillId="0" borderId="19" xfId="1" applyNumberFormat="1" applyFont="1" applyBorder="1">
      <alignment vertical="center"/>
    </xf>
    <xf numFmtId="0" fontId="4" fillId="0" borderId="1" xfId="1" applyNumberFormat="1" applyFont="1" applyBorder="1">
      <alignment vertical="center"/>
    </xf>
    <xf numFmtId="0" fontId="4" fillId="0" borderId="20" xfId="1" applyNumberFormat="1" applyFont="1" applyBorder="1">
      <alignment vertical="center"/>
    </xf>
    <xf numFmtId="0" fontId="4" fillId="0" borderId="22" xfId="0" applyFont="1" applyBorder="1">
      <alignment vertical="center"/>
    </xf>
    <xf numFmtId="0" fontId="4" fillId="0" borderId="23" xfId="1" applyNumberFormat="1" applyFont="1" applyBorder="1">
      <alignment vertical="center"/>
    </xf>
    <xf numFmtId="0" fontId="4" fillId="0" borderId="24" xfId="1" applyNumberFormat="1" applyFont="1" applyBorder="1">
      <alignment vertical="center"/>
    </xf>
    <xf numFmtId="0" fontId="4" fillId="0" borderId="25" xfId="1" applyNumberFormat="1" applyFont="1" applyBorder="1">
      <alignment vertical="center"/>
    </xf>
    <xf numFmtId="0" fontId="4" fillId="0" borderId="0" xfId="0" applyFont="1" applyFill="1" applyBorder="1" applyAlignment="1">
      <alignment horizontal="center"/>
    </xf>
    <xf numFmtId="41" fontId="5" fillId="0" borderId="0" xfId="1" applyFont="1" applyFill="1" applyBorder="1" applyAlignment="1">
      <alignment horizontal="center"/>
    </xf>
    <xf numFmtId="41" fontId="4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41" fontId="0" fillId="0" borderId="1" xfId="1" applyFont="1" applyFill="1" applyBorder="1">
      <alignment vertical="center"/>
    </xf>
    <xf numFmtId="0" fontId="6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 textRotation="255"/>
    </xf>
    <xf numFmtId="0" fontId="4" fillId="0" borderId="17" xfId="0" applyFont="1" applyBorder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0" fontId="4" fillId="0" borderId="0" xfId="0" applyFont="1" applyFill="1" applyBorder="1" applyAlignment="1">
      <alignment horizont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cols>
    <col min="2" max="2" width="28.83203125" customWidth="1"/>
    <col min="3" max="3" width="13" customWidth="1"/>
  </cols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"/>
  <sheetViews>
    <sheetView workbookViewId="0"/>
  </sheetViews>
  <sheetFormatPr defaultRowHeight="17"/>
  <cols>
    <col min="1" max="1" width="25" bestFit="1" customWidth="1"/>
    <col min="3" max="3" width="10.75" bestFit="1" customWidth="1"/>
  </cols>
  <sheetData>
    <row r="1" spans="1:7">
      <c r="A1" t="s">
        <v>1</v>
      </c>
    </row>
    <row r="3" spans="1:7" ht="34">
      <c r="A3" t="s">
        <v>2</v>
      </c>
      <c r="B3" t="s">
        <v>3</v>
      </c>
      <c r="C3" t="s">
        <v>4</v>
      </c>
      <c r="D3" t="s">
        <v>5</v>
      </c>
      <c r="E3" t="s">
        <v>6</v>
      </c>
      <c r="F3" s="1" t="s">
        <v>7</v>
      </c>
      <c r="G3" s="1" t="s">
        <v>8</v>
      </c>
    </row>
    <row r="4" spans="1:7">
      <c r="A4" t="s">
        <v>9</v>
      </c>
      <c r="B4" t="s">
        <v>10</v>
      </c>
      <c r="C4" s="2">
        <v>38633</v>
      </c>
      <c r="D4">
        <v>5754</v>
      </c>
      <c r="E4">
        <v>10000</v>
      </c>
      <c r="F4" s="3">
        <v>80</v>
      </c>
      <c r="G4" t="s">
        <v>11</v>
      </c>
    </row>
    <row r="5" spans="1:7">
      <c r="A5" t="s">
        <v>12</v>
      </c>
      <c r="B5" t="s">
        <v>13</v>
      </c>
      <c r="C5" s="2">
        <v>39298</v>
      </c>
      <c r="D5">
        <v>3120</v>
      </c>
      <c r="E5">
        <v>0</v>
      </c>
      <c r="F5" s="3">
        <v>50.6</v>
      </c>
      <c r="G5" t="s">
        <v>14</v>
      </c>
    </row>
    <row r="6" spans="1:7">
      <c r="A6" t="s">
        <v>15</v>
      </c>
      <c r="B6" t="s">
        <v>16</v>
      </c>
      <c r="C6" s="2">
        <v>39064</v>
      </c>
      <c r="D6">
        <v>4515</v>
      </c>
      <c r="E6">
        <v>5000</v>
      </c>
      <c r="F6" s="3">
        <v>48.5</v>
      </c>
      <c r="G6" t="s">
        <v>17</v>
      </c>
    </row>
    <row r="7" spans="1:7">
      <c r="A7" t="s">
        <v>18</v>
      </c>
      <c r="B7" t="s">
        <v>19</v>
      </c>
      <c r="C7" s="2">
        <v>39556</v>
      </c>
      <c r="D7">
        <v>7349</v>
      </c>
      <c r="E7">
        <v>30000</v>
      </c>
      <c r="F7" s="3">
        <v>86.4</v>
      </c>
      <c r="G7" t="s">
        <v>20</v>
      </c>
    </row>
    <row r="8" spans="1:7">
      <c r="A8" t="s">
        <v>21</v>
      </c>
      <c r="B8" t="s">
        <v>22</v>
      </c>
      <c r="C8" s="2">
        <v>40094</v>
      </c>
      <c r="D8">
        <v>1250</v>
      </c>
      <c r="E8">
        <v>8000</v>
      </c>
      <c r="F8" s="3">
        <v>39.200000000000003</v>
      </c>
      <c r="G8" t="s">
        <v>23</v>
      </c>
    </row>
    <row r="9" spans="1:7">
      <c r="A9" t="s">
        <v>24</v>
      </c>
      <c r="B9" t="s">
        <v>25</v>
      </c>
      <c r="C9" s="2">
        <v>38142</v>
      </c>
      <c r="D9">
        <v>850</v>
      </c>
      <c r="E9">
        <v>10000</v>
      </c>
      <c r="F9" s="3">
        <v>77.2</v>
      </c>
      <c r="G9" t="s">
        <v>26</v>
      </c>
    </row>
    <row r="10" spans="1:7">
      <c r="A10" t="s">
        <v>27</v>
      </c>
      <c r="B10" t="s">
        <v>28</v>
      </c>
      <c r="C10" s="2">
        <v>40245</v>
      </c>
      <c r="D10">
        <v>697</v>
      </c>
      <c r="E10">
        <v>3000</v>
      </c>
      <c r="F10" s="3">
        <v>65.099999999999994</v>
      </c>
      <c r="G10" t="s">
        <v>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13"/>
  <sheetViews>
    <sheetView workbookViewId="0"/>
  </sheetViews>
  <sheetFormatPr defaultRowHeight="17"/>
  <sheetData>
    <row r="2" spans="2:8">
      <c r="B2" s="4" t="s">
        <v>30</v>
      </c>
      <c r="C2" s="4"/>
      <c r="D2" s="4"/>
      <c r="E2" s="4"/>
      <c r="F2" s="4"/>
      <c r="G2" s="4"/>
      <c r="H2" s="4"/>
    </row>
    <row r="3" spans="2:8">
      <c r="B3" s="4"/>
      <c r="C3" s="4"/>
      <c r="D3" s="4"/>
      <c r="E3" s="4"/>
      <c r="F3" s="4"/>
      <c r="G3" s="4"/>
      <c r="H3" s="4"/>
    </row>
    <row r="4" spans="2:8">
      <c r="B4" s="5" t="s">
        <v>31</v>
      </c>
      <c r="C4" s="5" t="s">
        <v>32</v>
      </c>
      <c r="D4" s="5" t="s">
        <v>33</v>
      </c>
      <c r="E4" s="5" t="s">
        <v>34</v>
      </c>
      <c r="F4" s="5" t="s">
        <v>35</v>
      </c>
      <c r="G4" s="5" t="s">
        <v>36</v>
      </c>
      <c r="H4" s="5" t="s">
        <v>37</v>
      </c>
    </row>
    <row r="5" spans="2:8">
      <c r="B5" s="5" t="s">
        <v>38</v>
      </c>
      <c r="C5" s="5" t="s">
        <v>39</v>
      </c>
      <c r="D5" s="5" t="s">
        <v>40</v>
      </c>
      <c r="E5" s="5">
        <v>90</v>
      </c>
      <c r="F5" s="5">
        <v>85</v>
      </c>
      <c r="G5" s="5">
        <v>82</v>
      </c>
      <c r="H5" s="5">
        <f t="shared" ref="H5:H13" si="0">SUM(E5:G5)</f>
        <v>257</v>
      </c>
    </row>
    <row r="6" spans="2:8">
      <c r="B6" s="5" t="s">
        <v>41</v>
      </c>
      <c r="C6" s="5" t="s">
        <v>42</v>
      </c>
      <c r="D6" s="5" t="s">
        <v>43</v>
      </c>
      <c r="E6" s="5">
        <v>97</v>
      </c>
      <c r="F6" s="5">
        <v>89</v>
      </c>
      <c r="G6" s="5">
        <v>93</v>
      </c>
      <c r="H6" s="5">
        <f t="shared" si="0"/>
        <v>279</v>
      </c>
    </row>
    <row r="7" spans="2:8">
      <c r="B7" s="5" t="s">
        <v>44</v>
      </c>
      <c r="C7" s="5" t="s">
        <v>45</v>
      </c>
      <c r="D7" s="5" t="s">
        <v>46</v>
      </c>
      <c r="E7" s="5">
        <v>90</v>
      </c>
      <c r="F7" s="5">
        <v>77</v>
      </c>
      <c r="G7" s="5">
        <v>87</v>
      </c>
      <c r="H7" s="5">
        <f t="shared" si="0"/>
        <v>254</v>
      </c>
    </row>
    <row r="8" spans="2:8">
      <c r="B8" s="5" t="s">
        <v>47</v>
      </c>
      <c r="C8" s="5" t="s">
        <v>48</v>
      </c>
      <c r="D8" s="5" t="s">
        <v>40</v>
      </c>
      <c r="E8" s="5">
        <v>73</v>
      </c>
      <c r="F8" s="5">
        <v>64</v>
      </c>
      <c r="G8" s="5">
        <v>82</v>
      </c>
      <c r="H8" s="5">
        <f t="shared" si="0"/>
        <v>219</v>
      </c>
    </row>
    <row r="9" spans="2:8">
      <c r="B9" s="5" t="s">
        <v>49</v>
      </c>
      <c r="C9" s="5" t="s">
        <v>50</v>
      </c>
      <c r="D9" s="5" t="s">
        <v>46</v>
      </c>
      <c r="E9" s="5">
        <v>82</v>
      </c>
      <c r="F9" s="5">
        <v>91</v>
      </c>
      <c r="G9" s="5">
        <v>85</v>
      </c>
      <c r="H9" s="5">
        <f t="shared" si="0"/>
        <v>258</v>
      </c>
    </row>
    <row r="10" spans="2:8">
      <c r="B10" s="5" t="s">
        <v>51</v>
      </c>
      <c r="C10" s="5" t="s">
        <v>52</v>
      </c>
      <c r="D10" s="5" t="s">
        <v>40</v>
      </c>
      <c r="E10" s="5">
        <v>75</v>
      </c>
      <c r="F10" s="5">
        <v>86</v>
      </c>
      <c r="G10" s="5">
        <v>90</v>
      </c>
      <c r="H10" s="5">
        <f t="shared" si="0"/>
        <v>251</v>
      </c>
    </row>
    <row r="11" spans="2:8">
      <c r="B11" s="5" t="s">
        <v>53</v>
      </c>
      <c r="C11" s="5" t="s">
        <v>54</v>
      </c>
      <c r="D11" s="5" t="s">
        <v>43</v>
      </c>
      <c r="E11" s="5">
        <v>93</v>
      </c>
      <c r="F11" s="5">
        <v>85</v>
      </c>
      <c r="G11" s="5">
        <v>88</v>
      </c>
      <c r="H11" s="5">
        <f t="shared" si="0"/>
        <v>266</v>
      </c>
    </row>
    <row r="12" spans="2:8">
      <c r="B12" s="5" t="s">
        <v>55</v>
      </c>
      <c r="C12" s="5" t="s">
        <v>56</v>
      </c>
      <c r="D12" s="5" t="s">
        <v>46</v>
      </c>
      <c r="E12" s="5">
        <v>84</v>
      </c>
      <c r="F12" s="5">
        <v>74</v>
      </c>
      <c r="G12" s="5">
        <v>63</v>
      </c>
      <c r="H12" s="5">
        <f t="shared" si="0"/>
        <v>221</v>
      </c>
    </row>
    <row r="13" spans="2:8">
      <c r="B13" s="5" t="s">
        <v>57</v>
      </c>
      <c r="C13" s="5" t="s">
        <v>58</v>
      </c>
      <c r="D13" s="5" t="s">
        <v>43</v>
      </c>
      <c r="E13" s="5">
        <v>77</v>
      </c>
      <c r="F13" s="5">
        <v>90</v>
      </c>
      <c r="G13" s="5">
        <v>68</v>
      </c>
      <c r="H13" s="5">
        <f t="shared" si="0"/>
        <v>235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E7A20-B172-4597-A3A7-0214BE984FBC}">
  <dimension ref="A1:I20"/>
  <sheetViews>
    <sheetView workbookViewId="0"/>
  </sheetViews>
  <sheetFormatPr defaultRowHeight="17"/>
  <cols>
    <col min="4" max="4" width="12" bestFit="1" customWidth="1"/>
    <col min="5" max="5" width="8.5" bestFit="1" customWidth="1"/>
    <col min="6" max="6" width="9.33203125" customWidth="1"/>
    <col min="8" max="8" width="2.58203125" customWidth="1"/>
    <col min="9" max="9" width="19.9140625" bestFit="1" customWidth="1"/>
  </cols>
  <sheetData>
    <row r="1" spans="1:9">
      <c r="A1" s="39" t="s">
        <v>59</v>
      </c>
      <c r="B1" s="45" t="s">
        <v>85</v>
      </c>
      <c r="C1" s="39"/>
      <c r="D1" s="39"/>
      <c r="E1" s="9"/>
      <c r="F1" s="9"/>
      <c r="G1" s="9"/>
      <c r="H1" s="9"/>
    </row>
    <row r="2" spans="1:9">
      <c r="A2" s="40" t="s">
        <v>60</v>
      </c>
      <c r="B2" s="46" t="s">
        <v>62</v>
      </c>
      <c r="C2" s="40" t="s">
        <v>86</v>
      </c>
      <c r="D2" s="40" t="s">
        <v>61</v>
      </c>
      <c r="E2" s="47" t="s">
        <v>87</v>
      </c>
      <c r="F2" s="8" t="s">
        <v>151</v>
      </c>
      <c r="G2" s="8" t="s">
        <v>88</v>
      </c>
      <c r="H2" s="9"/>
      <c r="I2" s="9" t="s">
        <v>105</v>
      </c>
    </row>
    <row r="3" spans="1:9">
      <c r="A3" s="40" t="s">
        <v>89</v>
      </c>
      <c r="B3" s="46" t="s">
        <v>63</v>
      </c>
      <c r="C3" s="40">
        <v>80</v>
      </c>
      <c r="D3" s="40">
        <v>65</v>
      </c>
      <c r="E3" s="47">
        <v>75</v>
      </c>
      <c r="F3" s="47"/>
      <c r="G3" s="40"/>
      <c r="H3" s="9"/>
      <c r="I3" s="44" t="s">
        <v>152</v>
      </c>
    </row>
    <row r="4" spans="1:9">
      <c r="A4" s="40" t="s">
        <v>90</v>
      </c>
      <c r="B4" s="46" t="s">
        <v>64</v>
      </c>
      <c r="C4" s="40">
        <v>60</v>
      </c>
      <c r="D4" s="40">
        <v>50</v>
      </c>
      <c r="E4" s="47">
        <v>90</v>
      </c>
      <c r="F4" s="47"/>
      <c r="G4" s="40"/>
      <c r="H4" s="9"/>
      <c r="I4" s="47"/>
    </row>
    <row r="5" spans="1:9">
      <c r="A5" s="40" t="s">
        <v>91</v>
      </c>
      <c r="B5" s="46" t="s">
        <v>63</v>
      </c>
      <c r="C5" s="40">
        <v>60</v>
      </c>
      <c r="D5" s="40">
        <v>70</v>
      </c>
      <c r="E5" s="47">
        <v>75</v>
      </c>
      <c r="F5" s="47"/>
      <c r="G5" s="40"/>
      <c r="H5" s="9"/>
    </row>
    <row r="6" spans="1:9">
      <c r="A6" s="40" t="s">
        <v>92</v>
      </c>
      <c r="B6" s="46" t="s">
        <v>64</v>
      </c>
      <c r="C6" s="40">
        <v>50</v>
      </c>
      <c r="D6" s="40">
        <v>79</v>
      </c>
      <c r="E6" s="47">
        <v>80</v>
      </c>
      <c r="F6" s="47"/>
      <c r="G6" s="40"/>
      <c r="H6" s="9"/>
      <c r="I6" t="s">
        <v>65</v>
      </c>
    </row>
    <row r="7" spans="1:9">
      <c r="A7" s="40" t="s">
        <v>93</v>
      </c>
      <c r="B7" s="46" t="s">
        <v>63</v>
      </c>
      <c r="C7" s="40">
        <v>40</v>
      </c>
      <c r="D7" s="40">
        <v>50</v>
      </c>
      <c r="E7" s="47">
        <v>65</v>
      </c>
      <c r="F7" s="47"/>
      <c r="G7" s="40"/>
      <c r="H7" s="9"/>
      <c r="I7" s="44" t="s">
        <v>150</v>
      </c>
    </row>
    <row r="8" spans="1:9">
      <c r="A8" s="40" t="s">
        <v>94</v>
      </c>
      <c r="B8" s="46" t="s">
        <v>64</v>
      </c>
      <c r="C8" s="40">
        <v>70</v>
      </c>
      <c r="D8" s="40">
        <v>60</v>
      </c>
      <c r="E8" s="47">
        <v>95</v>
      </c>
      <c r="F8" s="47"/>
      <c r="G8" s="40"/>
      <c r="H8" s="9"/>
      <c r="I8" s="48"/>
    </row>
    <row r="9" spans="1:9">
      <c r="A9" s="47" t="s">
        <v>153</v>
      </c>
      <c r="B9" s="47" t="s">
        <v>63</v>
      </c>
      <c r="C9" s="47">
        <v>75</v>
      </c>
      <c r="D9" s="47">
        <v>85</v>
      </c>
      <c r="E9" s="47">
        <v>85</v>
      </c>
      <c r="F9" s="47"/>
      <c r="G9" s="40"/>
      <c r="H9" s="9"/>
    </row>
    <row r="10" spans="1:9">
      <c r="A10" s="47" t="s">
        <v>154</v>
      </c>
      <c r="B10" s="47" t="s">
        <v>64</v>
      </c>
      <c r="C10" s="47">
        <v>85</v>
      </c>
      <c r="D10" s="47">
        <v>75</v>
      </c>
      <c r="E10" s="47">
        <v>60</v>
      </c>
      <c r="F10" s="47"/>
      <c r="G10" s="40"/>
      <c r="H10" s="9"/>
    </row>
    <row r="11" spans="1:9">
      <c r="A11" s="9"/>
      <c r="B11" s="9"/>
      <c r="C11" s="9"/>
      <c r="D11" s="9"/>
      <c r="E11" s="9"/>
      <c r="F11" s="9"/>
      <c r="G11" s="9"/>
      <c r="H11" s="9"/>
    </row>
    <row r="12" spans="1:9">
      <c r="A12" s="39" t="s">
        <v>106</v>
      </c>
      <c r="B12" s="45" t="s">
        <v>66</v>
      </c>
      <c r="C12" s="9"/>
      <c r="D12" s="9"/>
      <c r="E12" s="9"/>
      <c r="F12" s="9"/>
      <c r="G12" s="9"/>
    </row>
    <row r="13" spans="1:9">
      <c r="A13" s="47" t="s">
        <v>67</v>
      </c>
      <c r="B13" s="47" t="s">
        <v>68</v>
      </c>
      <c r="C13" s="47" t="s">
        <v>69</v>
      </c>
      <c r="D13" s="44" t="s">
        <v>70</v>
      </c>
      <c r="E13" s="9"/>
      <c r="F13" s="39" t="s">
        <v>155</v>
      </c>
      <c r="G13" s="45"/>
    </row>
    <row r="14" spans="1:9">
      <c r="A14" s="47" t="s">
        <v>71</v>
      </c>
      <c r="B14" s="47" t="s">
        <v>72</v>
      </c>
      <c r="C14" s="47">
        <v>68</v>
      </c>
      <c r="D14" s="49"/>
      <c r="E14" s="9"/>
      <c r="F14" s="47" t="s">
        <v>68</v>
      </c>
      <c r="G14" s="47" t="s">
        <v>73</v>
      </c>
    </row>
    <row r="15" spans="1:9">
      <c r="A15" s="47" t="s">
        <v>74</v>
      </c>
      <c r="B15" s="47" t="s">
        <v>75</v>
      </c>
      <c r="C15" s="47" t="s">
        <v>76</v>
      </c>
      <c r="D15" s="49"/>
      <c r="E15" s="9"/>
      <c r="F15" s="47" t="s">
        <v>75</v>
      </c>
      <c r="G15" s="49">
        <v>15000</v>
      </c>
    </row>
    <row r="16" spans="1:9">
      <c r="A16" s="47" t="s">
        <v>77</v>
      </c>
      <c r="B16" s="47" t="s">
        <v>78</v>
      </c>
      <c r="C16" s="47">
        <v>70</v>
      </c>
      <c r="D16" s="49"/>
      <c r="E16" s="9"/>
      <c r="F16" s="47" t="s">
        <v>79</v>
      </c>
      <c r="G16" s="49">
        <v>14000</v>
      </c>
    </row>
    <row r="17" spans="1:7">
      <c r="A17" s="47" t="s">
        <v>80</v>
      </c>
      <c r="B17" s="47" t="s">
        <v>72</v>
      </c>
      <c r="C17" s="47">
        <v>95</v>
      </c>
      <c r="D17" s="49"/>
      <c r="E17" s="9"/>
      <c r="F17" s="47" t="s">
        <v>72</v>
      </c>
      <c r="G17" s="49">
        <v>18000</v>
      </c>
    </row>
    <row r="18" spans="1:7">
      <c r="A18" s="47" t="s">
        <v>81</v>
      </c>
      <c r="B18" s="47" t="s">
        <v>75</v>
      </c>
      <c r="C18" s="47" t="s">
        <v>82</v>
      </c>
      <c r="D18" s="49"/>
      <c r="E18" s="9"/>
      <c r="F18" s="47" t="s">
        <v>78</v>
      </c>
      <c r="G18" s="49">
        <v>17000</v>
      </c>
    </row>
    <row r="19" spans="1:7">
      <c r="A19" s="47" t="s">
        <v>83</v>
      </c>
      <c r="B19" s="47" t="s">
        <v>79</v>
      </c>
      <c r="C19" s="47">
        <v>39</v>
      </c>
      <c r="D19" s="49"/>
      <c r="E19" s="9"/>
      <c r="F19" s="9"/>
      <c r="G19" s="9"/>
    </row>
    <row r="20" spans="1:7">
      <c r="A20" s="47" t="s">
        <v>84</v>
      </c>
      <c r="B20" s="47" t="s">
        <v>79</v>
      </c>
      <c r="C20" s="47">
        <v>50</v>
      </c>
      <c r="D20" s="49"/>
      <c r="E20" s="9"/>
      <c r="F20" s="9"/>
      <c r="G20" s="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483-BBC7-4C3D-BD60-F0F72F1AE2FC}">
  <dimension ref="A1:J20"/>
  <sheetViews>
    <sheetView workbookViewId="0"/>
  </sheetViews>
  <sheetFormatPr defaultRowHeight="17"/>
  <cols>
    <col min="6" max="6" width="2.58203125" customWidth="1"/>
  </cols>
  <sheetData>
    <row r="1" spans="1:10">
      <c r="A1" t="s">
        <v>59</v>
      </c>
      <c r="G1" t="s">
        <v>105</v>
      </c>
      <c r="H1" t="s">
        <v>107</v>
      </c>
    </row>
    <row r="2" spans="1:10">
      <c r="A2" s="48" t="s">
        <v>156</v>
      </c>
      <c r="B2" s="48" t="s">
        <v>95</v>
      </c>
      <c r="C2" s="48" t="s">
        <v>96</v>
      </c>
      <c r="D2" s="48" t="s">
        <v>97</v>
      </c>
      <c r="E2" s="48" t="s">
        <v>98</v>
      </c>
      <c r="G2" s="48" t="s">
        <v>95</v>
      </c>
      <c r="H2" s="48" t="s">
        <v>96</v>
      </c>
      <c r="I2" s="48" t="s">
        <v>97</v>
      </c>
      <c r="J2" s="48" t="s">
        <v>98</v>
      </c>
    </row>
    <row r="3" spans="1:10">
      <c r="A3" s="48" t="s">
        <v>157</v>
      </c>
      <c r="B3" s="48" t="s">
        <v>99</v>
      </c>
      <c r="C3" s="51">
        <v>1000</v>
      </c>
      <c r="D3" s="51">
        <v>800</v>
      </c>
      <c r="E3" s="51">
        <f t="shared" ref="E3:E20" si="0">C3-D3</f>
        <v>200</v>
      </c>
      <c r="G3" s="50"/>
      <c r="H3" s="52"/>
      <c r="I3" s="52"/>
      <c r="J3" s="52"/>
    </row>
    <row r="4" spans="1:10">
      <c r="A4" s="48" t="s">
        <v>157</v>
      </c>
      <c r="B4" s="48" t="s">
        <v>100</v>
      </c>
      <c r="C4" s="51">
        <v>1000</v>
      </c>
      <c r="D4" s="51">
        <v>740</v>
      </c>
      <c r="E4" s="51">
        <f t="shared" si="0"/>
        <v>260</v>
      </c>
      <c r="G4" s="50"/>
      <c r="H4" s="52"/>
      <c r="I4" s="52"/>
      <c r="J4" s="52"/>
    </row>
    <row r="5" spans="1:10">
      <c r="A5" s="48" t="s">
        <v>157</v>
      </c>
      <c r="B5" s="48" t="s">
        <v>101</v>
      </c>
      <c r="C5" s="51">
        <v>1000</v>
      </c>
      <c r="D5" s="51">
        <v>640</v>
      </c>
      <c r="E5" s="51">
        <f t="shared" si="0"/>
        <v>360</v>
      </c>
      <c r="G5" s="50"/>
      <c r="H5" s="52"/>
      <c r="I5" s="52"/>
      <c r="J5" s="52"/>
    </row>
    <row r="6" spans="1:10">
      <c r="A6" s="48" t="s">
        <v>157</v>
      </c>
      <c r="B6" s="48" t="s">
        <v>102</v>
      </c>
      <c r="C6" s="51">
        <v>1000</v>
      </c>
      <c r="D6" s="51">
        <v>950</v>
      </c>
      <c r="E6" s="51">
        <f t="shared" si="0"/>
        <v>50</v>
      </c>
      <c r="G6" s="50"/>
      <c r="H6" s="52"/>
      <c r="I6" s="52"/>
      <c r="J6" s="52"/>
    </row>
    <row r="7" spans="1:10">
      <c r="A7" s="48" t="s">
        <v>157</v>
      </c>
      <c r="B7" s="48" t="s">
        <v>103</v>
      </c>
      <c r="C7" s="51">
        <v>1000</v>
      </c>
      <c r="D7" s="51">
        <v>510</v>
      </c>
      <c r="E7" s="51">
        <f t="shared" si="0"/>
        <v>490</v>
      </c>
    </row>
    <row r="8" spans="1:10">
      <c r="A8" s="48" t="s">
        <v>157</v>
      </c>
      <c r="B8" s="48" t="s">
        <v>104</v>
      </c>
      <c r="C8" s="51">
        <v>1000</v>
      </c>
      <c r="D8" s="51">
        <v>790</v>
      </c>
      <c r="E8" s="51">
        <f t="shared" si="0"/>
        <v>210</v>
      </c>
    </row>
    <row r="9" spans="1:10">
      <c r="A9" s="48" t="s">
        <v>158</v>
      </c>
      <c r="B9" s="48" t="s">
        <v>108</v>
      </c>
      <c r="C9" s="51">
        <v>1200</v>
      </c>
      <c r="D9" s="51">
        <v>950</v>
      </c>
      <c r="E9" s="51">
        <f t="shared" si="0"/>
        <v>250</v>
      </c>
    </row>
    <row r="10" spans="1:10">
      <c r="A10" s="48" t="s">
        <v>158</v>
      </c>
      <c r="B10" s="48" t="s">
        <v>109</v>
      </c>
      <c r="C10" s="51">
        <v>1200</v>
      </c>
      <c r="D10" s="51">
        <v>650</v>
      </c>
      <c r="E10" s="51">
        <f t="shared" si="0"/>
        <v>550</v>
      </c>
    </row>
    <row r="11" spans="1:10">
      <c r="A11" s="48" t="s">
        <v>158</v>
      </c>
      <c r="B11" s="48" t="s">
        <v>100</v>
      </c>
      <c r="C11" s="51">
        <v>1500</v>
      </c>
      <c r="D11" s="51">
        <v>340</v>
      </c>
      <c r="E11" s="51">
        <f t="shared" si="0"/>
        <v>1160</v>
      </c>
    </row>
    <row r="12" spans="1:10">
      <c r="A12" s="48" t="s">
        <v>158</v>
      </c>
      <c r="B12" s="48" t="s">
        <v>103</v>
      </c>
      <c r="C12" s="51">
        <v>1500</v>
      </c>
      <c r="D12" s="51">
        <v>890</v>
      </c>
      <c r="E12" s="51">
        <f t="shared" si="0"/>
        <v>610</v>
      </c>
    </row>
    <row r="13" spans="1:10">
      <c r="A13" s="48" t="s">
        <v>158</v>
      </c>
      <c r="B13" s="48" t="s">
        <v>110</v>
      </c>
      <c r="C13" s="51">
        <v>1500</v>
      </c>
      <c r="D13" s="51">
        <v>680</v>
      </c>
      <c r="E13" s="51">
        <f t="shared" si="0"/>
        <v>820</v>
      </c>
    </row>
    <row r="14" spans="1:10">
      <c r="A14" s="48" t="s">
        <v>158</v>
      </c>
      <c r="B14" s="48" t="s">
        <v>111</v>
      </c>
      <c r="C14" s="53">
        <v>500</v>
      </c>
      <c r="D14" s="53">
        <v>120</v>
      </c>
      <c r="E14" s="53">
        <f t="shared" si="0"/>
        <v>380</v>
      </c>
    </row>
    <row r="15" spans="1:10">
      <c r="A15" s="48" t="s">
        <v>159</v>
      </c>
      <c r="B15" s="48" t="s">
        <v>99</v>
      </c>
      <c r="C15" s="51">
        <v>700</v>
      </c>
      <c r="D15" s="51">
        <v>340</v>
      </c>
      <c r="E15" s="51">
        <f t="shared" si="0"/>
        <v>360</v>
      </c>
    </row>
    <row r="16" spans="1:10">
      <c r="A16" s="48" t="s">
        <v>159</v>
      </c>
      <c r="B16" s="48" t="s">
        <v>109</v>
      </c>
      <c r="C16" s="51">
        <v>700</v>
      </c>
      <c r="D16" s="51">
        <v>200</v>
      </c>
      <c r="E16" s="51">
        <f t="shared" si="0"/>
        <v>500</v>
      </c>
    </row>
    <row r="17" spans="1:5">
      <c r="A17" s="48" t="s">
        <v>159</v>
      </c>
      <c r="B17" s="48" t="s">
        <v>100</v>
      </c>
      <c r="C17" s="51">
        <v>500</v>
      </c>
      <c r="D17" s="51">
        <v>150</v>
      </c>
      <c r="E17" s="51">
        <f t="shared" si="0"/>
        <v>350</v>
      </c>
    </row>
    <row r="18" spans="1:5">
      <c r="A18" s="48" t="s">
        <v>159</v>
      </c>
      <c r="B18" s="48" t="s">
        <v>103</v>
      </c>
      <c r="C18" s="51">
        <v>500</v>
      </c>
      <c r="D18" s="51">
        <v>230</v>
      </c>
      <c r="E18" s="51">
        <f t="shared" si="0"/>
        <v>270</v>
      </c>
    </row>
    <row r="19" spans="1:5">
      <c r="A19" s="48" t="s">
        <v>159</v>
      </c>
      <c r="B19" s="48" t="s">
        <v>108</v>
      </c>
      <c r="C19" s="51">
        <v>500</v>
      </c>
      <c r="D19" s="51">
        <v>170</v>
      </c>
      <c r="E19" s="51">
        <f t="shared" si="0"/>
        <v>330</v>
      </c>
    </row>
    <row r="20" spans="1:5">
      <c r="A20" s="48" t="s">
        <v>159</v>
      </c>
      <c r="B20" s="48" t="s">
        <v>112</v>
      </c>
      <c r="C20" s="53">
        <v>500</v>
      </c>
      <c r="D20" s="53">
        <v>80</v>
      </c>
      <c r="E20" s="53">
        <f t="shared" si="0"/>
        <v>420</v>
      </c>
    </row>
  </sheetData>
  <dataConsolidate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0"/>
  <sheetViews>
    <sheetView workbookViewId="0"/>
  </sheetViews>
  <sheetFormatPr defaultRowHeight="17"/>
  <cols>
    <col min="1" max="1" width="2.58203125" customWidth="1"/>
    <col min="2" max="2" width="14.1640625" customWidth="1"/>
    <col min="3" max="3" width="10.08203125" customWidth="1"/>
    <col min="4" max="8" width="11.6640625" customWidth="1"/>
  </cols>
  <sheetData>
    <row r="1" spans="1:8">
      <c r="A1" s="9"/>
      <c r="B1" s="9"/>
      <c r="C1" s="9"/>
      <c r="D1" s="9"/>
      <c r="E1" s="9"/>
      <c r="F1" s="9"/>
      <c r="G1" s="9"/>
      <c r="H1" s="9"/>
    </row>
    <row r="2" spans="1:8">
      <c r="A2" s="9"/>
      <c r="B2" s="54" t="s">
        <v>113</v>
      </c>
      <c r="C2" s="54"/>
      <c r="D2" s="9"/>
      <c r="E2" s="9"/>
      <c r="F2" s="9"/>
      <c r="G2" s="9"/>
      <c r="H2" s="9"/>
    </row>
    <row r="3" spans="1:8">
      <c r="A3" s="9"/>
      <c r="B3" s="10" t="s">
        <v>114</v>
      </c>
      <c r="C3" s="11">
        <v>2500</v>
      </c>
      <c r="D3" s="9"/>
      <c r="E3" s="9"/>
      <c r="F3" s="9"/>
      <c r="G3" s="9"/>
      <c r="H3" s="9"/>
    </row>
    <row r="4" spans="1:8">
      <c r="A4" s="9"/>
      <c r="B4" s="10" t="s">
        <v>115</v>
      </c>
      <c r="C4" s="11">
        <v>3200</v>
      </c>
      <c r="D4" s="9"/>
      <c r="E4" s="9"/>
      <c r="F4" s="9"/>
      <c r="G4" s="9"/>
      <c r="H4" s="9"/>
    </row>
    <row r="5" spans="1:8">
      <c r="A5" s="9"/>
      <c r="B5" s="10" t="s">
        <v>116</v>
      </c>
      <c r="C5" s="11">
        <v>500</v>
      </c>
      <c r="D5" s="9"/>
      <c r="E5" s="9"/>
      <c r="F5" s="9"/>
      <c r="G5" s="9"/>
      <c r="H5" s="9"/>
    </row>
    <row r="6" spans="1:8">
      <c r="A6" s="9"/>
      <c r="B6" s="10" t="s">
        <v>117</v>
      </c>
      <c r="C6" s="11">
        <v>50</v>
      </c>
      <c r="D6" s="9"/>
      <c r="E6" s="9"/>
      <c r="F6" s="9"/>
      <c r="G6" s="9"/>
      <c r="H6" s="9"/>
    </row>
    <row r="7" spans="1:8">
      <c r="A7" s="9"/>
      <c r="B7" s="10" t="s">
        <v>118</v>
      </c>
      <c r="C7" s="12">
        <v>500</v>
      </c>
      <c r="D7" s="9"/>
      <c r="E7" s="9"/>
      <c r="F7" s="9"/>
      <c r="G7" s="9"/>
      <c r="H7" s="9"/>
    </row>
    <row r="8" spans="1:8">
      <c r="A8" s="9"/>
      <c r="B8" s="10" t="s">
        <v>119</v>
      </c>
      <c r="C8" s="13">
        <f>($C$4-$C$3)*$C$7-$C$5-$C$6</f>
        <v>349450</v>
      </c>
      <c r="D8" s="9"/>
      <c r="E8" s="9"/>
      <c r="F8" s="9"/>
      <c r="G8" s="9"/>
      <c r="H8" s="9"/>
    </row>
    <row r="9" spans="1:8">
      <c r="A9" s="9"/>
      <c r="B9" s="9"/>
      <c r="C9" s="9"/>
      <c r="D9" s="9"/>
      <c r="E9" s="9"/>
      <c r="F9" s="9"/>
      <c r="G9" s="9"/>
      <c r="H9" s="9"/>
    </row>
    <row r="10" spans="1:8">
      <c r="A10" s="9"/>
      <c r="B10" s="14"/>
      <c r="C10" s="15"/>
      <c r="D10" s="9"/>
      <c r="E10" s="9"/>
      <c r="F10" s="9"/>
      <c r="G10" s="9"/>
      <c r="H10" s="9"/>
    </row>
    <row r="11" spans="1:8">
      <c r="A11" s="9"/>
      <c r="B11" s="55" t="s">
        <v>120</v>
      </c>
      <c r="C11" s="56"/>
      <c r="D11" s="56"/>
      <c r="E11" s="56"/>
      <c r="F11" s="56"/>
      <c r="G11" s="56"/>
      <c r="H11" s="57"/>
    </row>
    <row r="12" spans="1:8" ht="17.5" thickBot="1">
      <c r="A12" s="9"/>
      <c r="B12" s="9"/>
      <c r="C12" s="16"/>
      <c r="D12" s="17"/>
      <c r="E12" s="17"/>
      <c r="F12" s="17"/>
      <c r="G12" s="17"/>
      <c r="H12" s="17"/>
    </row>
    <row r="13" spans="1:8" ht="17.5" thickBot="1">
      <c r="A13" s="9"/>
      <c r="B13" s="9"/>
      <c r="C13" s="9"/>
      <c r="D13" s="58" t="s">
        <v>121</v>
      </c>
      <c r="E13" s="59"/>
      <c r="F13" s="59"/>
      <c r="G13" s="59"/>
      <c r="H13" s="60"/>
    </row>
    <row r="14" spans="1:8" ht="17.5" thickBot="1">
      <c r="A14" s="9"/>
      <c r="B14" s="9"/>
      <c r="C14" s="18"/>
      <c r="D14" s="19">
        <v>300</v>
      </c>
      <c r="E14" s="20">
        <v>400</v>
      </c>
      <c r="F14" s="20">
        <v>500</v>
      </c>
      <c r="G14" s="20">
        <v>600</v>
      </c>
      <c r="H14" s="21">
        <v>700</v>
      </c>
    </row>
    <row r="15" spans="1:8">
      <c r="A15" s="9"/>
      <c r="B15" s="61" t="s">
        <v>115</v>
      </c>
      <c r="C15" s="22">
        <v>2500</v>
      </c>
      <c r="D15" s="23"/>
      <c r="E15" s="24"/>
      <c r="F15" s="24"/>
      <c r="G15" s="24"/>
      <c r="H15" s="25"/>
    </row>
    <row r="16" spans="1:8">
      <c r="A16" s="9"/>
      <c r="B16" s="62"/>
      <c r="C16" s="26">
        <v>3000</v>
      </c>
      <c r="D16" s="27"/>
      <c r="E16" s="28"/>
      <c r="F16" s="28"/>
      <c r="G16" s="28"/>
      <c r="H16" s="29"/>
    </row>
    <row r="17" spans="1:8">
      <c r="A17" s="9"/>
      <c r="B17" s="62"/>
      <c r="C17" s="26">
        <v>3500</v>
      </c>
      <c r="D17" s="27"/>
      <c r="E17" s="28"/>
      <c r="F17" s="28"/>
      <c r="G17" s="28"/>
      <c r="H17" s="29"/>
    </row>
    <row r="18" spans="1:8">
      <c r="A18" s="9"/>
      <c r="B18" s="62"/>
      <c r="C18" s="26">
        <v>4000</v>
      </c>
      <c r="D18" s="27"/>
      <c r="E18" s="28"/>
      <c r="F18" s="28"/>
      <c r="G18" s="28"/>
      <c r="H18" s="29"/>
    </row>
    <row r="19" spans="1:8">
      <c r="A19" s="9"/>
      <c r="B19" s="62"/>
      <c r="C19" s="26">
        <v>4500</v>
      </c>
      <c r="D19" s="27"/>
      <c r="E19" s="28"/>
      <c r="F19" s="28"/>
      <c r="G19" s="28"/>
      <c r="H19" s="29"/>
    </row>
    <row r="20" spans="1:8" ht="17.5" thickBot="1">
      <c r="A20" s="9"/>
      <c r="B20" s="63"/>
      <c r="C20" s="30">
        <v>5000</v>
      </c>
      <c r="D20" s="31"/>
      <c r="E20" s="32"/>
      <c r="F20" s="32"/>
      <c r="G20" s="32"/>
      <c r="H20" s="33"/>
    </row>
  </sheetData>
  <mergeCells count="4">
    <mergeCell ref="B2:C2"/>
    <mergeCell ref="B11:H11"/>
    <mergeCell ref="D13:H13"/>
    <mergeCell ref="B15:B20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9"/>
  <sheetViews>
    <sheetView workbookViewId="0"/>
  </sheetViews>
  <sheetFormatPr defaultRowHeight="17"/>
  <cols>
    <col min="5" max="6" width="11.6640625" bestFit="1" customWidth="1"/>
  </cols>
  <sheetData>
    <row r="1" spans="1:6">
      <c r="A1" s="6" t="s">
        <v>122</v>
      </c>
      <c r="B1" s="6" t="s">
        <v>123</v>
      </c>
      <c r="C1" s="6"/>
      <c r="D1" s="6"/>
      <c r="E1" s="6"/>
      <c r="F1" s="6"/>
    </row>
    <row r="2" spans="1:6">
      <c r="A2" s="34" t="s">
        <v>124</v>
      </c>
      <c r="B2" s="34" t="s">
        <v>125</v>
      </c>
      <c r="C2" s="34" t="s">
        <v>126</v>
      </c>
      <c r="D2" s="34" t="s">
        <v>127</v>
      </c>
      <c r="E2" s="34" t="s">
        <v>128</v>
      </c>
      <c r="F2" s="34" t="s">
        <v>129</v>
      </c>
    </row>
    <row r="3" spans="1:6">
      <c r="A3" s="34" t="s">
        <v>130</v>
      </c>
      <c r="B3" s="34">
        <v>37000</v>
      </c>
      <c r="C3" s="34">
        <v>100</v>
      </c>
      <c r="D3" s="34">
        <v>0.03</v>
      </c>
      <c r="E3" s="35">
        <v>3700000</v>
      </c>
      <c r="F3" s="35">
        <v>4440000</v>
      </c>
    </row>
    <row r="4" spans="1:6">
      <c r="A4" s="34" t="s">
        <v>131</v>
      </c>
      <c r="B4" s="34">
        <v>4500</v>
      </c>
      <c r="C4" s="34">
        <v>1200</v>
      </c>
      <c r="D4" s="34">
        <v>0.02</v>
      </c>
      <c r="E4" s="35">
        <v>5400000</v>
      </c>
      <c r="F4" s="35">
        <v>6480000</v>
      </c>
    </row>
    <row r="5" spans="1:6">
      <c r="A5" s="34" t="s">
        <v>132</v>
      </c>
      <c r="B5" s="34">
        <v>6500</v>
      </c>
      <c r="C5" s="34">
        <v>2200</v>
      </c>
      <c r="D5" s="34">
        <v>0.05</v>
      </c>
      <c r="E5" s="35">
        <v>14300000</v>
      </c>
      <c r="F5" s="35">
        <v>17160000</v>
      </c>
    </row>
    <row r="6" spans="1:6">
      <c r="A6" s="34" t="s">
        <v>133</v>
      </c>
      <c r="B6" s="34">
        <v>32500</v>
      </c>
      <c r="C6" s="34">
        <v>450</v>
      </c>
      <c r="D6" s="34">
        <v>7.0000000000000007E-2</v>
      </c>
      <c r="E6" s="35">
        <v>14625000</v>
      </c>
      <c r="F6" s="35">
        <v>17550000</v>
      </c>
    </row>
    <row r="7" spans="1:6">
      <c r="A7" s="34" t="s">
        <v>134</v>
      </c>
      <c r="B7" s="34">
        <v>6600</v>
      </c>
      <c r="C7" s="34">
        <v>660</v>
      </c>
      <c r="D7" s="34">
        <v>0.05</v>
      </c>
      <c r="E7" s="35">
        <v>4356000</v>
      </c>
      <c r="F7" s="35">
        <v>5227200</v>
      </c>
    </row>
    <row r="8" spans="1:6">
      <c r="A8" s="34" t="s">
        <v>135</v>
      </c>
      <c r="B8" s="34">
        <v>78000</v>
      </c>
      <c r="C8" s="34">
        <v>89</v>
      </c>
      <c r="D8" s="34">
        <v>0.05</v>
      </c>
      <c r="E8" s="35">
        <v>6942000</v>
      </c>
      <c r="F8" s="35">
        <v>8330400</v>
      </c>
    </row>
    <row r="9" spans="1:6">
      <c r="A9" s="64" t="s">
        <v>136</v>
      </c>
      <c r="B9" s="64"/>
      <c r="C9" s="64"/>
      <c r="D9" s="64"/>
      <c r="E9" s="36"/>
      <c r="F9" s="36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9"/>
  <sheetViews>
    <sheetView zoomScaleNormal="100" workbookViewId="0"/>
  </sheetViews>
  <sheetFormatPr defaultRowHeight="17"/>
  <cols>
    <col min="1" max="1" width="12.75" customWidth="1"/>
    <col min="2" max="2" width="10.75" customWidth="1"/>
    <col min="3" max="3" width="12.33203125" customWidth="1"/>
    <col min="4" max="4" width="11.08203125" customWidth="1"/>
  </cols>
  <sheetData>
    <row r="1" spans="1:4">
      <c r="A1" s="37" t="s">
        <v>137</v>
      </c>
      <c r="B1" s="38"/>
      <c r="C1" s="39"/>
      <c r="D1" s="39" t="s">
        <v>138</v>
      </c>
    </row>
    <row r="2" spans="1:4">
      <c r="A2" s="7" t="s">
        <v>139</v>
      </c>
      <c r="B2" s="40" t="s">
        <v>140</v>
      </c>
      <c r="C2" s="40" t="s">
        <v>141</v>
      </c>
      <c r="D2" s="40" t="s">
        <v>142</v>
      </c>
    </row>
    <row r="3" spans="1:4">
      <c r="A3" s="41" t="s">
        <v>143</v>
      </c>
      <c r="B3" s="42">
        <v>4270</v>
      </c>
      <c r="C3" s="42">
        <v>809000</v>
      </c>
      <c r="D3" s="42">
        <v>31800</v>
      </c>
    </row>
    <row r="4" spans="1:4">
      <c r="A4" s="41" t="s">
        <v>144</v>
      </c>
      <c r="B4" s="42">
        <v>5500</v>
      </c>
      <c r="C4" s="42">
        <v>1766000</v>
      </c>
      <c r="D4" s="42">
        <v>49900</v>
      </c>
    </row>
    <row r="5" spans="1:4">
      <c r="A5" s="41" t="s">
        <v>145</v>
      </c>
      <c r="B5" s="42">
        <v>1597</v>
      </c>
      <c r="C5" s="42">
        <v>526000</v>
      </c>
      <c r="D5" s="42">
        <v>4100</v>
      </c>
    </row>
    <row r="6" spans="1:4">
      <c r="A6" s="41" t="s">
        <v>146</v>
      </c>
      <c r="B6" s="42">
        <v>2984</v>
      </c>
      <c r="C6" s="42">
        <v>985000</v>
      </c>
      <c r="D6" s="42">
        <v>6200</v>
      </c>
    </row>
    <row r="7" spans="1:4">
      <c r="A7" s="41" t="s">
        <v>147</v>
      </c>
      <c r="B7" s="42">
        <v>670</v>
      </c>
      <c r="C7" s="42">
        <v>51000</v>
      </c>
      <c r="D7" s="42">
        <v>1500</v>
      </c>
    </row>
    <row r="8" spans="1:4">
      <c r="A8" s="41" t="s">
        <v>148</v>
      </c>
      <c r="B8" s="42">
        <v>3890</v>
      </c>
      <c r="C8" s="42">
        <v>672000</v>
      </c>
      <c r="D8" s="42">
        <v>26900</v>
      </c>
    </row>
    <row r="9" spans="1:4">
      <c r="A9" s="41" t="s">
        <v>149</v>
      </c>
      <c r="B9" s="43">
        <v>1340</v>
      </c>
      <c r="C9" s="43">
        <v>489000</v>
      </c>
      <c r="D9" s="43">
        <v>5600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2023-05-12T05:51:59Z</dcterms:modified>
</cp:coreProperties>
</file>